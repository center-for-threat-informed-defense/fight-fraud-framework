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5-06 - Fight Financial Fraud/Working Folder/"/>
    </mc:Choice>
  </mc:AlternateContent>
  <xr:revisionPtr revIDLastSave="0" documentId="8_{22504A02-5010-410A-87E9-2495AE35A506}" xr6:coauthVersionLast="47" xr6:coauthVersionMax="47" xr10:uidLastSave="{00000000-0000-0000-0000-000000000000}"/>
  <bookViews>
    <workbookView xWindow="13020" yWindow="1400" windowWidth="24980" windowHeight="23760" firstSheet="1" activeTab="1" xr2:uid="{00000000-000D-0000-FFFF-FFFF00000000}"/>
  </bookViews>
  <sheets>
    <sheet name="Techniques" sheetId="1"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alcChain>
</file>

<file path=xl/sharedStrings.xml><?xml version="1.0" encoding="utf-8"?>
<sst xmlns="http://schemas.openxmlformats.org/spreadsheetml/2006/main" count="519" uniqueCount="398">
  <si>
    <t>Technique ID</t>
  </si>
  <si>
    <t>Technique</t>
  </si>
  <si>
    <t>Description</t>
  </si>
  <si>
    <t>Tactic ID</t>
  </si>
  <si>
    <t>Tactic Name</t>
  </si>
  <si>
    <t>Reviewer</t>
  </si>
  <si>
    <t>Comments</t>
  </si>
  <si>
    <t>F1076</t>
  </si>
  <si>
    <t>3DS Bypass</t>
  </si>
  <si>
    <t>Adversaries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adversaries to conduct fraudulent transactions without completing the additional security challenges designed to prevent card-not-present fraud.</t>
  </si>
  <si>
    <t>Defense Evasion</t>
  </si>
  <si>
    <t>T1453</t>
  </si>
  <si>
    <t>Abuse Accessibility Features</t>
  </si>
  <si>
    <t>Adversaries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adversaries to bypass security controls by gaining unauthorized access to sensitive information presented through legitimate authentication interfaces.</t>
  </si>
  <si>
    <t>Positioning</t>
  </si>
  <si>
    <t>F1001</t>
  </si>
  <si>
    <t>Abuse of Public-Facing API</t>
  </si>
  <si>
    <t>Adversaries may exploit publicly available APIs intended for legitimate customer or partner use to facilitate fraud operations. This may include account enumeration, credential stuffing attacks, data scraping, or automated financial transaction fraud. Adversaries often leverage compromised credentials, botnets, or custom scripts to generate high volumes of API requests that mimic legitimate traffic patterns.</t>
  </si>
  <si>
    <t>Initial Access, Execution</t>
  </si>
  <si>
    <t>F1001.001</t>
  </si>
  <si>
    <t>Abuse of Public-Facing API: Mobile API Abuse</t>
  </si>
  <si>
    <t>Adversaries may exploit mobile-specific APIs to conduct fraud operations. This may include using modified mobile applications, mobile device emulators, or custom scripts to generate fraudulent API calls that appear legitimate. Adversaries target mobile APIs to bypass security controls designed for web-based access or to exploit mobile-specific vulnerabilities in authentication and authorization mechanisms.</t>
  </si>
  <si>
    <t>F1001.002</t>
  </si>
  <si>
    <t>Abuse of Public-Facing API: Web API Abuse</t>
  </si>
  <si>
    <t>Adversaries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Adversaries exploit web APIs to bypass rate limiting, CAPTCHA controls, or other security mechanisms designed to prevent automated abuse.</t>
  </si>
  <si>
    <t>F1004</t>
  </si>
  <si>
    <t>Abuse SMS verification</t>
  </si>
  <si>
    <t>Adversaries may abuse SMS verification services to generate excessive costs or enable fraud. This may include sending multiple verification requests to premium-rate numbers, manipulating SMS routing to route traffic through higher-cost carriers, or flooding systems with verification requests to disrupt services or increase operational costs for the target organization.</t>
  </si>
  <si>
    <t>Execution</t>
  </si>
  <si>
    <t>F1005</t>
  </si>
  <si>
    <t>Access Notifications</t>
  </si>
  <si>
    <t>Adversaries may intercept SMS messages or push notifications to capture authentication codes or sensitive information sent to victim devices. This may include exploiting SIM swap vulnerabilities, using malware to read notification content, or compromising notification delivery infrastructure. Adversaries use captured authentication codes to bypass multi-factor authentication controls and gain unauthorized account access.</t>
  </si>
  <si>
    <t>Initial Access, Positioning</t>
  </si>
  <si>
    <t>F1006</t>
  </si>
  <si>
    <t>Access with Stolen Session Cookie</t>
  </si>
  <si>
    <t>Adversaries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adversaries can impersonate legitimate users and access accounts as long as the session remains valid.</t>
  </si>
  <si>
    <t>Initial Access</t>
  </si>
  <si>
    <t>T1531</t>
  </si>
  <si>
    <t>Account Access Removal</t>
  </si>
  <si>
    <t>Adversaries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adversaries maintain persistent control over compromised accounts.</t>
  </si>
  <si>
    <t>F1007</t>
  </si>
  <si>
    <t>Account Linking</t>
  </si>
  <si>
    <t>Adversaries may link compromised accounts to accounts under their control to establish persistent access that survives credential resets. In online and mobile banking environments, adversaries may link victim bank accounts to secondary credentials or profiles without the victim's knowledge. This technique allows adversaries to maintain account access even after the victim changes primary authentication credentials.</t>
  </si>
  <si>
    <t>F1008</t>
  </si>
  <si>
    <t>Account Manipulation</t>
  </si>
  <si>
    <t>Adversaries may modify account settings to facilitate fraud operations or maintain persistent access. This may include altering payment methods, changing account details, modifying notification preferences, or adjusting security settings. Adversaries typically gain initial access through stolen credentials or system vulnerabilities, then make unauthorized changes to account configurations to support subsequent fraud activities or prevent detection.</t>
  </si>
  <si>
    <t>F1008.004</t>
  </si>
  <si>
    <t>Account Manipulation: Add Authorized User</t>
  </si>
  <si>
    <t>Adversaries may add themselves or accomplices as authorized users or secondary signers on compromised accounts. Authorized users typically have permission to perform transactions and access account features on behalf of the primary account holder. This technique provides adversaries with legitimate-appearing access to accounts and may be used to position access for monetization or to establish persistent access that appears authorized.</t>
  </si>
  <si>
    <t>F1008.006</t>
  </si>
  <si>
    <t>Account Manipulation: Add Beneficiary</t>
  </si>
  <si>
    <t>Adversaries may add themselves or accounts under their control as beneficiaries on compromised financial accounts. Beneficiary designations determine who receives account assets or benefits after the account holder's death or under other specified conditions. This technique allows adversaries to potentially receive account assets in the future or to establish fraudulent claims to account benefits.</t>
  </si>
  <si>
    <t>F1008.005</t>
  </si>
  <si>
    <t>Account Manipulation: Add Call Receiving Device</t>
  </si>
  <si>
    <t>Adversaries may add devices under their control to victim accounts to intercept phone calls intended for the legitimate account holder. This may include adding devices to cloud account profiles such as Apple ID or Microsoft accounts. By intercepting phone calls, adversaries can receive authentication codes sent via voice calls, intercept customer service callbacks, or monitor communication related to account security.</t>
  </si>
  <si>
    <t>F1008.002</t>
  </si>
  <si>
    <t>Account Manipulation: Additional Bank Accounts</t>
  </si>
  <si>
    <t>Adversaries may add new bank account details to compromised accounts to redirect future payments or transfers. By adding accounts under their control to payment or payout settings, adversaries can intercept legitimate financial transfers or redirect funds during payment processing. This technique is commonly used against merchant accounts, payroll systems, or other platforms that facilitate outbound payments.</t>
  </si>
  <si>
    <t>F1008.003</t>
  </si>
  <si>
    <t>Account Manipulation: Additional Payment Methods</t>
  </si>
  <si>
    <t>Adversaries may add new credit cards, bank accounts, or other financial instruments to compromised accounts. This allows adversaries to make unauthorized purchases, redirect funds to accounts under their control, or establish payment methods that can be used for subsequent fraud operations. Added payment methods may be funded with stolen financial credentials or used to monetize compromised accounts.</t>
  </si>
  <si>
    <t>F1008.009</t>
  </si>
  <si>
    <t>Account Manipulation: Change Account Details</t>
  </si>
  <si>
    <t>Adversaries may change account details such as PIN numbers, security questions, transaction limits, or other account parameters. By modifying these details, adversaries can reduce security controls, increase their operational capabilities, or prevent legitimate users from accessing or recovering accounts. This may include changing knowledge-based authentication answers or adjusting account restrictions.</t>
  </si>
  <si>
    <t>F1008.001</t>
  </si>
  <si>
    <t>Account Manipulation: Change E-Delivery / Notification Settings</t>
  </si>
  <si>
    <t>Adversaries may change electronic delivery or notification settings to prevent account holders from detecting suspicious account activity. By disabling email alerts, SMS notifications, or other notification mechanisms, adversaries can conduct fraudulent transactions or account modifications without triggering alerts that would otherwise notify the legitimate account owner.</t>
  </si>
  <si>
    <t>F1008.008</t>
  </si>
  <si>
    <t>Account Manipulation: Change of Payment Details</t>
  </si>
  <si>
    <t>Adversaries may alter legitimate payment details stored in compromised accounts to redirect payments to accounts or payment methods under their control. This may include changing bank account numbers, credit card information, or electronic payment addresses stored for recurring payments or payouts. This technique is commonly used to redirect payroll, vendor payments, or customer refunds.</t>
  </si>
  <si>
    <t>F1008.007</t>
  </si>
  <si>
    <t>Account Manipulation: Enable Account Features</t>
  </si>
  <si>
    <t>Adversaries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adversaries increase their ability to monetize compromised accounts.</t>
  </si>
  <si>
    <t>F1018</t>
  </si>
  <si>
    <t>Account Takeover</t>
  </si>
  <si>
    <t>Adversaries may gain unauthorized access and control of user accounts on financial platforms or services. This may include using stolen credentials, exploiting system vulnerabilities, conducting phishing attacks, or leveraging credential stuffing with previously breached credentials. Once access is obtained, adversaries can modify account details, redirect payments, initiate unauthorized transactions, or extract sensitive customer data for further fraud operations.</t>
  </si>
  <si>
    <t>F1055</t>
  </si>
  <si>
    <t>Account Takeover: Exposed API Key</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</si>
  <si>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</si>
  <si>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F1056</t>
  </si>
  <si>
    <t>Account Takeover: Exposed Login Credential</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</si>
  <si>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keylogging malware, or password spraying against common combinations.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</si>
  <si>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F1018.001</t>
  </si>
  <si>
    <t>Account Takeover: Password Reset</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</si>
  <si>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</si>
  <si>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F1020</t>
  </si>
  <si>
    <t>Account Transfer</t>
  </si>
  <si>
    <t>Adversaries may transfer funds or assets from compromised accounts without authorization. This typically involves using legitimate transfer mechanisms after gaining unauthorized account access through stolen credentials, social engineering, or technical exploits. Adversaries may transfer funds to accounts under their control or to intermediary accounts used for money laundering operations.</t>
  </si>
  <si>
    <t>T1650</t>
  </si>
  <si>
    <t>Acquire Access</t>
  </si>
  <si>
    <t>Adversaries may acquire unauthorized access to systems, networks, or accounts to facilitate fraud operations. This encompasses various methods including exploitation of vulnerabilities, use of stolen credentials, social engineering, or leveraging compromised infrastructure. Once access is obtained, adversaries can conduct reconnaissance, establish persistence, or directly execute fraud activities such as data theft or unauthorized transactions.</t>
  </si>
  <si>
    <t>Resource Development</t>
  </si>
  <si>
    <t>T1583</t>
  </si>
  <si>
    <t>Acquire Infrastructure</t>
  </si>
  <si>
    <t>Adversaries may acquire or compromise infrastructure to support fraud operations. This may include registering domains, establishing hosting services, deploying command and control infrastructure, or compromising legitimate infrastructure for malicious use. Acquired infrastructure provides adversaries with resources needed to conduct phishing campaigns, host malicious content, process fraudulent transactions, or maintain persistent access to compromised environments.</t>
  </si>
  <si>
    <t>T1583.001</t>
  </si>
  <si>
    <t>Acquire Infrastructure: Domains</t>
  </si>
  <si>
    <t>Adversaries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</si>
  <si>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T1583.008</t>
  </si>
  <si>
    <t>Acquire Infrastructure: Malvertising</t>
  </si>
  <si>
    <t>Adversaries may create malicious advertisements that direct users to fraudulent sites equipped with credential harvesting or payment card skimming capabilities. This may include advertisements for fraudulent merchant sites or compromised legitimate merchant sites. Adversaries often use stolen payment card data to fund advertising campaigns, creating a self-sustaining fraud operation where stolen credentials fund further credential theft activities.</t>
  </si>
  <si>
    <t>T1583.003</t>
  </si>
  <si>
    <t>Acquire Infrastructure: Virtual Private Network or Server</t>
  </si>
  <si>
    <t>Adversaries may acquire access to VPN services or anonymous proxy servers to mask their activities or create the appearance of legitimate operations. VPN and proxy services allow adversaries to obscure their true location, bypass geographic restrictions, evade detection systems that rely on IP reputation, or simulate legitimate user traffic patterns during fraud operations.</t>
  </si>
  <si>
    <t>F1023</t>
  </si>
  <si>
    <t>Adversary-in-the-Browser</t>
  </si>
  <si>
    <t>Adversaries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</si>
  <si>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F1023.001</t>
  </si>
  <si>
    <t>Adversary-in-the-Browser: DLL Injection</t>
  </si>
  <si>
    <t>Adversaries may inject malicious dynamic-link libraries into legitimate browser processes to intercept and manipulate web traffic. Injected DLLs can capture credentials, modify displayed content, intercept form data, or manipulate financial transactions in real-time. This technique allows adversaries to bypass browser security controls and operate within the context of trusted browser processes.</t>
  </si>
  <si>
    <t>F1023.002</t>
  </si>
  <si>
    <t>Adversary-in-the-Browser: Malicious Browser Extension</t>
  </si>
  <si>
    <t>Adversaries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</si>
  <si>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F1023.003</t>
  </si>
  <si>
    <t>Adversary-in-the-Browser: Malicious JavaScript Injection</t>
  </si>
  <si>
    <t>Adversaries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</si>
  <si>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T1557</t>
  </si>
  <si>
    <t>Adversary-in-the-Middle</t>
  </si>
  <si>
    <t>Adversaries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adversaries may force a device to communicate through an adversary controlled system so they can collect information or perform additional actions.</t>
  </si>
  <si>
    <t>F1030</t>
  </si>
  <si>
    <t>ATM Manipulation</t>
  </si>
  <si>
    <t>Adversaries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adversaries to capture card data and PINs, dispense cash without proper authorization, or disable security controls.</t>
  </si>
  <si>
    <t>F1030.002</t>
  </si>
  <si>
    <t>ATM Manipulation: ATM Hardware Manipulation</t>
  </si>
  <si>
    <t>Adversaries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</si>
  <si>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F1030.001</t>
  </si>
  <si>
    <t>ATM Manipulation: ATM Software Manipulation</t>
  </si>
  <si>
    <t>Adversaries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adversaries to capture card data and PINs, dispense cash without authorization, or disable security controls.</t>
  </si>
  <si>
    <t>F1033</t>
  </si>
  <si>
    <t>Bank Deposit</t>
  </si>
  <si>
    <t>Adversaries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</si>
  <si>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F1033.001</t>
  </si>
  <si>
    <t>Bank Deposit: ATM Deposit</t>
  </si>
  <si>
    <t>Adversaries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</si>
  <si>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F1033.002</t>
  </si>
  <si>
    <t>Bank Deposit: Mobile Deposit</t>
  </si>
  <si>
    <t>Adversaries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</si>
  <si>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F1033.003</t>
  </si>
  <si>
    <t>Bank Deposit: Night Deposit</t>
  </si>
  <si>
    <t>Adversaries may exploit night deposit services to introduce fraudulent deposits with delayed verification. Night deposits are processed the following business day, providing additional time for adversaries to exploit the float period before deposits are verified. This may include depositing counterfeit checks, stolen checks, or altered instruments.</t>
  </si>
  <si>
    <t>F1033.004</t>
  </si>
  <si>
    <t>Bank Deposit: Test Deposit</t>
  </si>
  <si>
    <t>Adversaries may abuse test deposit mechanisms used for account verification to gather account information or conduct micro-deposit fraud. Account linking services often send small test deposits that users must verify, and adversaries may intercept these deposits to confirm account control or conduct account enumeration. This technique may also be used to identify active accounts for targeting.</t>
  </si>
  <si>
    <t>F1038</t>
  </si>
  <si>
    <t>Bank Transfer</t>
  </si>
  <si>
    <t>Adversaries may initiate unauthorized bank transfers to move funds from compromised accounts. This may include wire transfers, ACH transfers, peer-to-peer payment transfers, or other electronic fund transfer mechanisms. Adversaries typically gain access through stolen credentials, compromised sessions, or by manipulating account holders through social engineering before initiating transfers to accounts under their control.</t>
  </si>
  <si>
    <t>F1039</t>
  </si>
  <si>
    <t>Betting and Gambling Platforms</t>
  </si>
  <si>
    <t>Adversaries may exploit betting and gambling platforms to launder money, conduct bonus abuse, or commit transaction fraud. This may include creating accounts with stolen identities, exploiting bonus structures, conducting arbitrage fraud, or using gambling platforms to transfer and obfuscate the origin of illicit funds. Gambling platforms can provide mechanisms for moving funds while creating transaction complexity that hinders fraud detection.</t>
  </si>
  <si>
    <t>Monetization</t>
  </si>
  <si>
    <t>F1039.001</t>
  </si>
  <si>
    <t>Betting and Gambling Platforms: Deposit Funds for Betting</t>
  </si>
  <si>
    <t>Adversaries may deposit stolen funds into gambling platform accounts to launder money or exploit platform features. This may include depositing funds from compromised payment methods, then withdrawing funds through different payment mechanisms to obscure the original source. Adversaries may conduct minimal gambling activity to create the appearance of legitimate platform use.</t>
  </si>
  <si>
    <t>T1185</t>
  </si>
  <si>
    <t>Browser Session Hijacking</t>
  </si>
  <si>
    <t>Adversaries may take advantage of security vulnerabilities and inherent functionality in browser software to change content, modify user-behaviors, and intercept information as part of various browser session hijacking techniques.[1]
A specific example is when an adversary injects software into a browser that allows them to inherit cookies, HTTP sessions, and SSL client certificates of a user then use the browser as a way to pivot into an authenticated intranet.[2][3] Executing browser-based behaviors such as pivoting may require specific process permissions, such as SeDebugPrivilege and/or high-integrity/administrator rights
Another example involves pivoting browser traffic from the adversary's browser through the user's browser by setting up a proxy which will redirect web traffic. This does not alter the user's traffic in any way, and the proxy connection can be severed as soon as the browser is closed. The adversary assumes the security context of whichever browser process the proxy is injected into. Browsers typically create a new process for each tab that is opened and permissions and certificates are separated accordingly. With these permissions, an adversary could potentially browse to any resource on an intranet, such as Sharepoint or webmail, that is accessible through the browser and which the browser has sufficient permissions. Browser pivoting may also bypass security provided by 2-factor authentication.[4]</t>
  </si>
  <si>
    <t>T1110</t>
  </si>
  <si>
    <t>Brute Force</t>
  </si>
  <si>
    <t>Adversaries may use brute force techniques to gain access to accounts when passwords are unknown or when password hashes are obtained. Without knowledge of the password for an account or set of accounts, an adversary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adversaries may attempt to brute force access to Valid Accounts within a victim environment leveraging knowledge gathered from other post-compromise behaviors such as OS Credential Dumping, Account Discovery, or Password Policy Discovery. Adversaries may also combine brute forcing activity with behaviors such as External Remote Services as part of Initial Access.
If an adversary guesses the correct password but fails to login to a compromised account due to location-based conditional access policies, they may change their infrastructure until they match the victim’s location and therefore bypass those policies.</t>
  </si>
  <si>
    <t>T1110.004</t>
  </si>
  <si>
    <t>Brute Force:  Credential Stuffing</t>
  </si>
  <si>
    <t xml:space="preserve">Adversaries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an adversary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</si>
  <si>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T1110.002</t>
  </si>
  <si>
    <t>Brute Force: Password Cracking</t>
  </si>
  <si>
    <t xml:space="preserve">Adversaries may use password cracking to attempt to recover usable credentials, such as plaintext passwords, when credential material such as password hashes are obtained. OS Credential Dumping can be used to obtain password hashes, this may only get an adversary so far when Pass the Hash is not an option. Further, adversaries may leverage Data from Configuration Repository in order to obtain hashed credentials for network devices.
Techniques to systematically guess the passwords used to compute hashes are available, or the adversary may use a pre-computed rainbow table to crack hashes. Cracking hashes is usually done on adversary-controlled systems outside of the target network. The resulting plaintext password resulting from a successfully cracked hash may be used to log into systems, resources, and services in which the account has access.
</t>
  </si>
  <si>
    <t>T1110.001</t>
  </si>
  <si>
    <t>Brute Force: Password Guessing</t>
  </si>
  <si>
    <t>Adversaries with no prior knowledge of legitimate credentials within the system or environment may guess passwords to attempt access to accounts. Without knowledge of the password for an account, an adversary may opt to systematically guess the password using a repetitive or iterative mechanism. An adversary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</si>
  <si>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T1110.003</t>
  </si>
  <si>
    <t>Brute Force: Password Spraying</t>
  </si>
  <si>
    <t xml:space="preserve">Adversaries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adversaries may deliberately throttle password spraying attempts to avoid triggering security alerting. Additionally, adversaries may leverage LDAP and Kerberos authentication attempts, which are less likely to trigger high-visibility events such as Windows "logon failure" event ID 4625 that is commonly triggered by failed SMB connection attempts.
</t>
  </si>
  <si>
    <t>F1041</t>
  </si>
  <si>
    <t>Buy Money Order</t>
  </si>
  <si>
    <t>Adversaries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Adversaries may use multiple small money orders to avoid transaction reporting thresholds.</t>
  </si>
  <si>
    <t>F1042</t>
  </si>
  <si>
    <t>Card Dump Capture</t>
  </si>
  <si>
    <t>Adversaries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adversaries.</t>
  </si>
  <si>
    <t>F1043</t>
  </si>
  <si>
    <t>Card Testing</t>
  </si>
  <si>
    <t>Adversaries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adversaries.</t>
  </si>
  <si>
    <t>F1093</t>
  </si>
  <si>
    <t>Change Payroll Details</t>
  </si>
  <si>
    <t xml:space="preserve">Fraudsters may alter payroll settings so that salary or wage payments are redirected to accounts they control. This can include changing direct‑deposit account numbers, updating routing information, or modifying payee details within payroll or HR systems, enabling ongoing diversion of payroll funds away from the legitimate employee.
</t>
  </si>
  <si>
    <t>F1049</t>
  </si>
  <si>
    <t>Charge Back Fraud</t>
  </si>
  <si>
    <t>Fraudsters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</si>
  <si>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F1050</t>
  </si>
  <si>
    <t>Check Fraud</t>
  </si>
  <si>
    <t>Fraudsters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</si>
  <si>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F1051</t>
  </si>
  <si>
    <t>Churning</t>
  </si>
  <si>
    <t>Churning fraud occurs when fraudsters repeatedly use stolen payment card information to conduct transactions until the card limit is reached or the account balance is depleted, often before detection or card deactivation.
Fraudsters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</si>
  <si>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T1586</t>
  </si>
  <si>
    <t>Compromise Accounts</t>
  </si>
  <si>
    <t>Adversaries may compromise accounts with services that can be leveraged during fraud operations. This may include social media accounts, email accounts, cloud service accounts, or corporate accounts. Compromised accounts provide adversaries with legitimate-appearing identities for conducting social engineering, distributing malicious content, or accessing services and data associated with the compromised account.</t>
  </si>
  <si>
    <t>T1586.003</t>
  </si>
  <si>
    <t>Compromise Accounts: Cloud Accounts</t>
  </si>
  <si>
    <t>Adversaries may compromise cloud service accounts to access sensitive data, pivot to connected resources, or leverage cloud services for malicious purposes. Compromised cloud accounts may provide access to stored data, configuration information, or connected services and applications. Adversaries may use compromised cloud accounts to host malicious content, conduct cryptomining operations, or access resources in connected cloud environments.</t>
  </si>
  <si>
    <t>T1586.004</t>
  </si>
  <si>
    <t>Compromise Accounts: Corporate Accounts</t>
  </si>
  <si>
    <t>Adversaries may compromise corporate accounts to gain access to business systems, conduct business email compromise attacks, or access sensitive corporate information. Compromised corporate accounts provide adversaries with legitimate credentials for accessing internal systems, customer data, financial information, or other protected corporate resources. These accounts may also be used to authorize fraudulent transactions or initiate unauthorized changes to business processes.</t>
  </si>
  <si>
    <t>T1586.002</t>
  </si>
  <si>
    <t>Compromise Accounts: Email Accounts</t>
  </si>
  <si>
    <t>Adversaries may compromise email accounts that can be used during targeting. Adversaries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adversaries may conduct Reconnaissance to inform decisions about which accounts to compromise to further their operation. Adversaries may target compromising well-known email accounts or domains from which malicious spam or Phishing emails may evade reputation-based email filtering rules.
Adversaries can use a compromised email account to hijack existing email threads with targets of interest.</t>
  </si>
  <si>
    <t>T1586.001</t>
  </si>
  <si>
    <t>Compromise Accounts: Social Media Accounts</t>
  </si>
  <si>
    <t>Adversaries may compromise social media accounts to conduct social engineering attacks, distribute malicious content, or impersonate legitimate users. Compromised social media accounts can be used to send convincing phishing messages to the victim's contacts, promote fraudulent schemes, gather intelligence about targets and their relationships, or damage the reputation of the account owner.</t>
  </si>
  <si>
    <t>F1057</t>
  </si>
  <si>
    <t>Compromise Payment Gateway</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</si>
  <si>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Attackers often focus on weaknesses in the integration between a merchant’s website and the gateway, or on misconfigurations and security gaps within the gateway’s own infrastructure, to maintain persistent and covert access.</t>
  </si>
  <si>
    <t>F1047</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</si>
  <si>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</si>
  <si>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</si>
  <si>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F1059</t>
  </si>
  <si>
    <t>Create Counterfeit Card</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</si>
  <si>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</si>
  <si>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F1060</t>
  </si>
  <si>
    <t>Create Fake Materials</t>
  </si>
  <si>
    <t>Adversaries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</si>
  <si>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F1062</t>
  </si>
  <si>
    <t>Create Fake Materials: Fake Documents</t>
  </si>
  <si>
    <t>Adversaries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and insurance policies, which may be either fully counterfeit or subtly modified to evade detection.</t>
  </si>
  <si>
    <t>F1061</t>
  </si>
  <si>
    <t>Create Fake Materials: Fake e-Commerce Website</t>
  </si>
  <si>
    <t>Adversaries may create fraudulent e-commerce websites to capture payment information or steal credentials. Fake e-commerce sites may mimic legitimate retailers, advertise products with no intention of delivery, or simply harvest payment card information during checkout. These sites may be promoted through malicious advertisements, search engine optimization, or social media campaigns to attract victims.</t>
  </si>
  <si>
    <t>T1555</t>
  </si>
  <si>
    <t>Credentials from Password Stores</t>
  </si>
  <si>
    <t>Adversaries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</si>
  <si>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Reconnaissance</t>
  </si>
  <si>
    <t>T1555.003</t>
  </si>
  <si>
    <t>Credentials from Password Stores: Credentials from Web Browsers</t>
  </si>
  <si>
    <t>Adversaries may extract credentials saved in web browser password storage mechanisms. Web browsers commonly offer to save and autofill credentials for user convenience, but this stored information can be extracted by malware or adversaries with local access. Extracted credentials may include usernames, passwords, and authentication tokens for various online services.</t>
  </si>
  <si>
    <t>T1555.005</t>
  </si>
  <si>
    <t>Credentials from Password Stores: Password Managers</t>
  </si>
  <si>
    <t xml:space="preserve">Adversaries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</si>
  <si>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F1063</t>
  </si>
  <si>
    <t>Delete Relevant Emails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</si>
  <si>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</si>
  <si>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F1064</t>
  </si>
  <si>
    <t>Device Fingerprint Spoofing</t>
  </si>
  <si>
    <t>Adversaries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adversaries to bypass security measures that rely on device identification for authentication or fraud detection, allowing them to carry out illicit activities while remaining undetected.</t>
  </si>
  <si>
    <t>T1189</t>
  </si>
  <si>
    <t>Drive-by Compromise</t>
  </si>
  <si>
    <t>Adversaries may gain access to a system through a user visiting a website over the normal course of browsing. Multiple ways of delivering exploit code to a browser exist (i.e., Drive-by Target), including: 
- A legitimate website is compromised, allowing adversaries to inject malicious code
- Script files served to a legitimate website from a publicly writeable cloud storage bucket are modified by an adversary
- Malicious ads are paid for and served through legitimate ad providers (i.e., Malvertising)
- Built-in web application interfaces that allow content are leveraged for the insertion of malicious scripts or iFrames (e.g., cross-site scripting)
Browser push notifications may also be abused by adversaries and leveraged for malicious code injection via User Execution. By clicking "allow" on browser push notifications, users may be granting a website permission to run JavaScript code on their browser.
Often the website used by an adversary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</si>
  <si>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T1667</t>
  </si>
  <si>
    <t>Email Bombing</t>
  </si>
  <si>
    <t>Adversaries may flood targeted email addresses with an overwhelming volume of messages. This may bury legitimate emails in a flood of spam and disrupt business operations.[1][2]
An adversary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adversaries may successfully divert attention away from and bury legitimate messages including security alerts, daily business processes like help desk tickets and client correspondence, or ongoing scams.[3] This behavior can also be used as a tool of harassment.[2]</t>
  </si>
  <si>
    <t>T1672</t>
  </si>
  <si>
    <t>Email Spoofing</t>
  </si>
  <si>
    <t>Technique used by adversaries to misrepresent the sender‚Äôs email address, making it seem as if the email originates from a trusted or reliable source. The intent is to deceive the recipient (victim) into thinking the message is genuine, prompting them to click on malicious links, download and execute attachments with malware, share confidential information or execute fraudulent activity. This technique is frequently utilized in phishing scams to trick individuals into becoming victims of fraud or malware.</t>
  </si>
  <si>
    <t>T1585</t>
  </si>
  <si>
    <t>Establish Accounts</t>
  </si>
  <si>
    <t>Adversaries may create and cultivate accounts with services that can be used during targeting. Adversaries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adversaries to abuse free services, such as registering for trial periods to Acquire Infrastructure for malicious purposes.</t>
  </si>
  <si>
    <t>F1066</t>
  </si>
  <si>
    <t>Falsify Business Documents</t>
  </si>
  <si>
    <t>Adversaries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</si>
  <si>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F1048</t>
  </si>
  <si>
    <t>Fradulent Purchasing</t>
  </si>
  <si>
    <t xml:space="preserve">Fraudulent purchasing occurs when adversaries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Adversaries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</si>
  <si>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F1067</t>
  </si>
  <si>
    <t>Gather Victim Information</t>
  </si>
  <si>
    <t>Adversaries may gather information about victims to support targeted fraud operations or social engineering attacks. This may include collecting personal information, financial information, relationship information, or behavioral information from public sources, data breaches, social media, or social engineering. Gathered information enables more convincing and targeted fraud attacks.</t>
  </si>
  <si>
    <t>F1068</t>
  </si>
  <si>
    <t>Geolocation Spoofing</t>
  </si>
  <si>
    <t>Adversaries may falsify geographic location information to bypass location-based security controls or access restricted services. This may include using VPNs, proxy servers, GPS spoofing applications, or other techniques to mask true location. Location spoofing allows adversaries to access geo-restricted content, bypass location-based fraud detection, or hide their true location during fraud operations.</t>
  </si>
  <si>
    <t>F1069</t>
  </si>
  <si>
    <t>Identity Theft for Merchant Accounts</t>
  </si>
  <si>
    <t>Adversaries may use stolen identity information to establish fraudulent merchant accounts with payment processors. Fraudulent merchant accounts allow adversaries to process payments for non-existent goods or services, conduct money laundering operations, or establish infrastructure for payment card testing. Identity theft for merchant accounts provides adversaries with legitimate-appearing payment processing capabilities.</t>
  </si>
  <si>
    <t>F1070</t>
  </si>
  <si>
    <t>Impersonate Account Holder</t>
  </si>
  <si>
    <t>Adversaries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</si>
  <si>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Initial Access, Defense Evasion</t>
  </si>
  <si>
    <t>F1071</t>
  </si>
  <si>
    <t>Impersonate Official</t>
  </si>
  <si>
    <t>Adversaries may impersonate officials such as bank representatives, law enforcement officers, government agents, or other authority figures to manipulate victims. By impersonating officials, adversaries leverage the trust and authority associated with these positions to convince victims to provide sensitive information, authorize transactions, or take actions that facilitate fraud. Impersonation may occur through phone calls, emails, or in-person interactions.</t>
  </si>
  <si>
    <t>T1070</t>
  </si>
  <si>
    <t>Indicator Removal</t>
  </si>
  <si>
    <t>Adversaries may delete or modify artifacts generated within systems to remove evidence of their presence or hinder defenses. Various artifacts may be created by an adversary or something that can be attributed to an adversary’s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</si>
  <si>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F1072</t>
  </si>
  <si>
    <t>Insider Access Abuse</t>
  </si>
  <si>
    <t>Adversaries may abuse legitimate access privileges to conduct fraud operations. This may include malicious insiders, compromised insiders, or exploitation of excessive access privileges by authorized users. Insider access provides adversaries with legitimate credentials and authorization to access systems, data, or conduct transactions, making detection more difficult than external attacks.</t>
  </si>
  <si>
    <t>F1073</t>
  </si>
  <si>
    <t>IVR Discovery</t>
  </si>
  <si>
    <t>Adversaries may interact with interactive voice response systems to understand call flows, authentication mechanisms, or available functions. By mapping IVR systems, adversaries can identify opportunities for fraud, understand authentication requirements, or develop strategies for social engineering attacks against customer service representatives. IVR discovery may be automated or conducted manually to gather intelligence for fraud operations.</t>
  </si>
  <si>
    <t>F1074</t>
  </si>
  <si>
    <t>Mail Theft</t>
  </si>
  <si>
    <t>Adversaries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</si>
  <si>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T1111</t>
  </si>
  <si>
    <t>Multi-Factor Authentication Interception</t>
  </si>
  <si>
    <t>Adversaries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adversaries to complete authentication despite not possessing legitimate MFA credentials.</t>
  </si>
  <si>
    <t>T1621</t>
  </si>
  <si>
    <t>Multi-Factor Authentication Request Generation</t>
  </si>
  <si>
    <t>Adversaries may generate multiple MFA requests to overwhelm or pressure victims into approving fraudulent authentication attempts. This technique, often called MFA fatigue, involves repeatedly generating authentication requests until the victim approves access to stop the notifications. Adversaries rely on user frustration, confusion, or mistakes to gain approval for unauthorized access attempts.</t>
  </si>
  <si>
    <t>F1089</t>
  </si>
  <si>
    <t>New Vendor Setup</t>
  </si>
  <si>
    <t>adversaries pretend to be existing or new vendors to trick organizations into paying fraudulent accounts. New vendor setup can be done through fake invoices, requests for banking information changes, or urgent payment requests.</t>
  </si>
  <si>
    <t>F1090</t>
  </si>
  <si>
    <t>NFC Payment</t>
  </si>
  <si>
    <t>Adversaries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adversaries can quickly and discreetly conduct fraudulent transactions, often evading traditional security measures such as PIN verification or signature requirements, leading to financial losses for both consumers and businesses.</t>
  </si>
  <si>
    <t>F1077</t>
  </si>
  <si>
    <t>Official Phone Number Spoofing</t>
  </si>
  <si>
    <t>Adversaries manipulate caller ID information to display a legitimate phone number when communicating with victims, impersonating customer service hotlines, law enforcement, government agencies, financial institutions, or other trusted entities. This technique can lead to various types of illicit activities, such as phishing, where victims are tricked into entering sensitive information or performing unauthorized activities under the guise of official messages.</t>
  </si>
  <si>
    <t>F1091</t>
  </si>
  <si>
    <t>PAN/CVV Generation</t>
  </si>
  <si>
    <t>Adversaries use PAN/CVV Generators to create valid credit card numbers (PANs) along with their corresponding Card Verification Values (CVVs), allowing adversaries to bypass security measures and make unauthorized purchases. By generating PANs and CVVs, adversaries can create counterfeit credit cards or conduct card-not-present transactions without physically possessing the victim's card.</t>
  </si>
  <si>
    <t>F1092</t>
  </si>
  <si>
    <t>PaReq manipulation</t>
  </si>
  <si>
    <t>Adversaries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adversaries evade detection by exploiting vulnerabilities in payment processing systems and bypassing security checks designed to prevent unauthorized access or fraudulent transactions.</t>
  </si>
  <si>
    <t>T1598</t>
  </si>
  <si>
    <t>Phishing for Information</t>
  </si>
  <si>
    <t>Adversaries may send fraudulent communications designed to deceive victims into providing sensitive information, credentials, or payment information. Phishing may be conducted through email, SMS smishing, voice calls vishing, QR codes quishing, or other communication channels. Phishing messages typically impersonate trusted entities and create urgency to pressure victims into immediate action without careful consideration.</t>
  </si>
  <si>
    <t>T1598.004</t>
  </si>
  <si>
    <t>Phishing for Information: Spearphishing Voice</t>
  </si>
  <si>
    <t xml:space="preserve">Adversaries may use voice communications to elicit sensitive information that can be used during targeting. Spearphishing for information is an attempt to trick targets into divulging information, frequently credentials or other actionable information. Spearphishing for information frequently involves social engineering techniques, such as posing as a source with a reason to collect information (ex: Impersonation) and/or creating a sense of urgency or alarm for the recipient.
All forms of phishing are electronically delivered social engineering. In this scenario, adversaries use phone calls to elicit sensitive information from victims. Known as voice phishing (or "vishing"), these communications can be manually executed by adversaries, hired call centers, or even automated via robocalls. Voice phishers may spoof their phone number while also posing as a trusted entity, such as a business partner or technical support staff.
Victims may also receive phishing messages that direct them to call a phone number ("callback phishing") where the adversary attempts to collect confidential information.
Adversaries may also use information from previous reconnaissance efforts to tailor pretexts to be even more persuasive and believable for the victim.
</t>
  </si>
  <si>
    <t>F1082</t>
  </si>
  <si>
    <t>PIN-code Peeking</t>
  </si>
  <si>
    <t>Adversaries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</si>
  <si>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F1084</t>
  </si>
  <si>
    <t>QR Code Poisoning</t>
  </si>
  <si>
    <t>A social engineering attack vector disguised within a QR code, typically a "Login with QR Code" feature that presents a secure way to log into account, but enables adversaries to highjack all applications relying on the compromised credentials.</t>
  </si>
  <si>
    <t>F1085</t>
  </si>
  <si>
    <t>Reactivate Account</t>
  </si>
  <si>
    <t>Adversaries target inactive accounts because they are less likely to be monitored closely by the account holder or financial institution. They may attempt to reactivate the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</si>
  <si>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T1219</t>
  </si>
  <si>
    <t>Remote Access Tools</t>
  </si>
  <si>
    <t>An adversary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Adversaries may similarly abuse response features included in EDR and other defensive tools that enable remote access</t>
  </si>
  <si>
    <t>F1094</t>
  </si>
  <si>
    <t>Reversal of Transaction</t>
  </si>
  <si>
    <t>Adversaries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mya allow them to obtain the goods or services without actually paying for them, effectively evading detection and potentially causing financial loss to the legitimate party involved.</t>
  </si>
  <si>
    <t>F1095</t>
  </si>
  <si>
    <t>Scheduled Transfer</t>
  </si>
  <si>
    <t xml:space="preserve">Adversaries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Adversaries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</si>
  <si>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T1113</t>
  </si>
  <si>
    <t>Screen Capture</t>
  </si>
  <si>
    <t>Adversaries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</si>
  <si>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</si>
  <si>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</si>
  <si>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</si>
  <si>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F1086</t>
  </si>
  <si>
    <t>Social Engineering</t>
  </si>
  <si>
    <t>Adversaries may manipulate individuals into divulging sensitive information, authorizing transactions, or taking actions that compromise security. Social engineering exploits human psychology, trust, authority, fear, or urgency rather than technical vulnerabilities. Social engineering may be conducted through various communication channels and is often combined with other techniques to establish credibility or create pressure for immediate action.</t>
  </si>
  <si>
    <t>T1608</t>
  </si>
  <si>
    <t>Stage Capabilities</t>
  </si>
  <si>
    <t>Adversaries may upload malicious content, establish fraud infrastructure, or position resources for delivery to victims. This may include hosting phishing websites, establishing command and control infrastructure, uploading malicious applications to app stores, or creating social media profiles for fraud operations. Staging activities prepare the technical infrastructure needed to execute fraud operations.</t>
  </si>
  <si>
    <t>T1608.006</t>
  </si>
  <si>
    <t>Stage Capabilities: SEO Poisoning</t>
  </si>
  <si>
    <t>Adversaries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</si>
  <si>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T1539</t>
  </si>
  <si>
    <t>Steal Web Session Cookie</t>
  </si>
  <si>
    <t>An adversary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Adversaries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an adversary and used in phishing campaigns.
After an adversary acquires a valid cookie, they can then perform a Web Session Cookie technique to login to the corresponding web application.</t>
  </si>
  <si>
    <t>Reconnaissance, Positioning</t>
  </si>
  <si>
    <t>F1087</t>
  </si>
  <si>
    <t>Structuring</t>
  </si>
  <si>
    <t>Parceling large transactions, locations or other account activity to subvert fraud detection and CTR/SAR reporting. Adversaries will use structuring to keep their fraudulent activity from detection or alerts.</t>
  </si>
  <si>
    <t>T1195</t>
  </si>
  <si>
    <t>Supply Chain Compromise</t>
  </si>
  <si>
    <t>Adversaries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adversaries looking to gain execution have often focused on malicious additions to legitimate software in software distribution or update channels. Adversaries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adversaries may conduct "second-order" supply chain compromises by leveraging the access gained from an initial supply chain compromise to further compromise a software component. This may allow the threat actor to spread to even more victims.</t>
  </si>
  <si>
    <t>F1096</t>
  </si>
  <si>
    <t>Testing Payment Thresholds</t>
  </si>
  <si>
    <t>Adversaries conduct small-scale transactions to identify vulnerable accounts with sufficient funds. By staying within the payment thresholds, they avoid raising suspicion while accumulating information. This approach enables them to strategically target accounts with significant balances for larger-scale fraudulent activities.</t>
  </si>
  <si>
    <t>Use Alternate Authentication Material</t>
  </si>
  <si>
    <t>Adversaries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</si>
  <si>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T1555.002</t>
  </si>
  <si>
    <t>Use Alternate Authentication Material: Application Access Token</t>
  </si>
  <si>
    <t>Adversaries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adversaries to bypass password-based authentication controls and may not trigger alerts for unusual login locations.</t>
  </si>
  <si>
    <t>F1097</t>
  </si>
  <si>
    <t>Use Virtual cards</t>
  </si>
  <si>
    <t>Adversaries use virtual cards for money laundering because they provide anonymity, flexibility, and ease of use in online transactions. Virtual cards are often obtained with less stringent identity verification, making it easier to conceal illicit financial activities. Their disposability allows adversaries to use them for a series of transactions and then discard them, reducing traceability.
These cards are beneficial for cross-border transactions, enabling adversaries to move funds quickly across jurisdictions, and complicating efforts to track money flows. Virtual cards can also be employed to create complex layers of transactions, often used in "layering" within money laundering schemes to obscure the origin of funds. This flexibility makes virtual cards a convenient tool for converting illicit funds into legitimate assets without raising suspicion.</t>
  </si>
  <si>
    <t>F1098</t>
  </si>
  <si>
    <t>Website Cloning</t>
  </si>
  <si>
    <t>Website cloning is a technique whereby cybercriminals create a replica of a legitimate website with the intent to deceive visitors. The cloned website mimics the design, layout, and functionality of the original site, but is controlled by the attacker. Users are often directed to these fraudulent sites via phishing emails, social media links, or through search engine manipulation. Once on the cloned site, visitors may unknowingly provide sensitive information such as login credentials, financial data, or personal details.
Execution: 
Attackers create a cloned website by copying the source code of the legitimate site and hosting it on a different server, often with a similar domain name designed to confuse potential victims (a practice known as "typosquatting"). They might also inject malicious scripts into the cloned site for additional nefarious activities, such as capturing keystrokes or redirecting payments.
Examples:
An imposter copies a bank‚Äôs website to a domain that is off by one letter, hoping customers will not notice the URL difference and will enter their online banking credentials.
Cloning an online retailer's website around the holiday shopping season, tricking shoppers into "purchasing" high-demand items that will never be shipped‚Äîwhile collecting their credit card information.
Creating a duplicate of a popular software download site to distribute malware-laden versions of the software.
Goals: The primary goals of website cloning are to:
Capture sensitive information from users by convincing them they are interacting with the legitimate site.
Facilitate financial fraud by misleading customers into making payments or donations, which are then rerouted to the attacker.
Distribute malware that can result in further exploitation of the victim‚Äôs device for financial gain, data theft, or unauthorized access to secure networks.
Damage the reputation and trust of the legitimate site owner, which can have long-term business consequences.</t>
  </si>
  <si>
    <t>F1044</t>
  </si>
  <si>
    <t>Withdraw Money</t>
  </si>
  <si>
    <t xml:space="preserve">Fraudsters may convert compromised account balances into physical funds by initiating in‑person cash movements such as ATM withdrawals, cashier’s checks, money orders, or similar instruments. These withdrawals remove value from financial accounts in ways that can be quickly spent, transported, or layered through additional transactions to obscure the origin of the funds.
</t>
  </si>
  <si>
    <t>F1044.002</t>
  </si>
  <si>
    <t>Withdraw Money: Electronic Withdrawal</t>
  </si>
  <si>
    <t xml:space="preserve">Fraudsters may deplete compromised accounts by initiating electronic fund movements such as wire transfers, regional payment rails (ACH or SEPA), other electronic funds transfers, or conversion of balances into cryptocurrency. These withdrawals move value rapidly across payment rails or into pseudo‑anonymous assets, making recovery and tracing of funds more difficult.
</t>
  </si>
  <si>
    <t>F1044.001</t>
  </si>
  <si>
    <t>Withdraw Money: Physical Withdrawal</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</si>
  <si>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</si>
  <si>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F1099</t>
  </si>
  <si>
    <t>Withdrawal by Legitimate Account Owner</t>
  </si>
  <si>
    <t>Adversaries may exploit the Withdrawal by Legitimate Account Owner defence to evade detection by conducting illicit transactions that appear legitimate on the surface. They might coerce or deceive account holders into making withdrawals or transfers under false pretences, using their legitimate access to financial accounts. By leveraging this defence, adversaries can obscure their illicit activities, making it harder for authorities to identify and prosecute them, as the transactions initially appear to be authorized by the account owner.</t>
  </si>
  <si>
    <t>Tactic Description</t>
  </si>
  <si>
    <t>TA0043</t>
  </si>
  <si>
    <t>The adversary's actions to gather information they can use to plan future operations, including both cyber intrusions and attempted fraud. 
Reconnaissance consists of techniques that involve adversaries actively or passively gathering information that can be used to support targeting. Such information may include details of the victim organization, infrastructure, or staff/personnel. This information can be leveraged by the adversary to aid in other phases of the adversary lifecycle, such as using gathered information to plan and execute Initial Access, to scope and prioritize post-compromise objectives, or to drive and lead further Reconnaissance efforts.</t>
  </si>
  <si>
    <t>TA0042</t>
  </si>
  <si>
    <t>The adversary's actions to establish resources they can use to support both cyber and fraud activities. 
Resource Development consists of techniques that involve adversaries creating, purchasing, or compromising/stealing resources that can be used to support targeting. Such resources include infrastructure, accounts, or capabilities. These resources can be leveraged by the adversary to aid in other phases of the adversary lifecycle, such as using purchased domains to support Execution, email accounts for phishing as a part of Initial Access, or spoofing to help with Defense Evasion.</t>
  </si>
  <si>
    <t>TA0001</t>
  </si>
  <si>
    <t>The adversary's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</si>
  <si>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TA0005</t>
  </si>
  <si>
    <t>The adversary's actions to avoid being detected.
Defense Evasion consists of techniques that adversaries use to avoid detection throughout their compromise. Techniques used for defense evasion include phone number spoofing or social engineering. Adversaries also leverage and abuse trusted processes to hide and masquerade their activities. Other tactics’ techniques are cross-listed here when those techniques include the added benefit of subverting defenses.</t>
  </si>
  <si>
    <t>FA0001</t>
  </si>
  <si>
    <t>The adversary's actions in a selected environment, after initial access, to collect or manipulate data or otherwise prepare for execution. 
Positioning consists of techniques that involve adversaries gathering sensitive information, altering account configurations, manipulating transaction parameters, or establishing conditions necessary for successful fraud operations. These preparatory activities enable adversaries to maximize the value extracted during fraud execution or establish persistent access for future operations.</t>
  </si>
  <si>
    <t>TA0002</t>
  </si>
  <si>
    <t>The adversary's actions to run malicious code or initiate fradulent transactions that will convert stolen data to money. 
Execution consists of techniques that result in adversary‑controlled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an adversary might use a remote access tool to run a PowerShell script that performs Remote System Discovery and then launch scripts or bots that submit fraudulent transfers, modify payment instructions, or replay payment messages through compromised banking or merchant platforms.</t>
  </si>
  <si>
    <t>FA0002</t>
  </si>
  <si>
    <t>The adversary's actions to convert assets, often stolen, into usable funds or value in their possession.
Adversaries may convert fraudulently obtained funds or assets into a form they can utilize or transfer to their possession. Monetization consists of techniques that involve adversaries liquidating stolen digital assets, transferring funds from compromised accounts, converting fraud proceeds into difficult-to-trace monetary instruments, or manipulating markets. These techniques represent the final stages of fraud operations where adversaries secure their gains and attempt to obscure the transaction trail.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</si>
</sst>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6">
    <border>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1" fillId="0" borderId="2"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wrapText="1"/>
    </xf>
    <xf numFmtId="0" fontId="1" fillId="0" borderId="3" xfId="0" applyFont="1" applyBorder="1" applyAlignment="1">
      <alignment horizontal="center" vertical="top" wrapText="1"/>
    </xf>
    <xf numFmtId="0" fontId="1" fillId="2" borderId="3" xfId="0" applyFont="1" applyFill="1" applyBorder="1" applyAlignment="1">
      <alignment horizontal="center" vertical="top" wrapText="1"/>
    </xf>
    <xf numFmtId="0" fontId="0" fillId="3" borderId="4" xfId="0" applyFill="1" applyBorder="1" applyAlignment="1">
      <alignment wrapText="1"/>
    </xf>
    <xf numFmtId="0" fontId="0" fillId="3" borderId="5"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4" borderId="4" xfId="0" applyFill="1" applyBorder="1" applyAlignment="1">
      <alignment wrapText="1"/>
    </xf>
    <xf numFmtId="0" fontId="0" fillId="4" borderId="5" xfId="0" applyFill="1" applyBorder="1" applyAlignment="1">
      <alignment wrapText="1"/>
    </xf>
    <xf numFmtId="0" fontId="0" fillId="0" borderId="0" xfId="0" applyAlignment="1">
      <alignment vertical="center" wrapText="1"/>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n">
          <color auto="1"/>
        </bottom>
      </border>
    </dxf>
    <dxf>
      <border diagonalUp="0" diagonalDown="0">
        <left style="thin">
          <color auto="1"/>
        </left>
        <right style="thin">
          <color auto="1"/>
        </right>
        <top style="thin">
          <color auto="1"/>
        </top>
        <bottom style="thin">
          <color auto="1"/>
        </bottom>
      </border>
    </dxf>
    <dxf>
      <alignment horizontal="general" vertical="center" textRotation="0" wrapText="1" indent="0" justifyLastLine="0" shrinkToFit="0" readingOrder="0"/>
    </dxf>
    <dxf>
      <font>
        <b/>
        <i val="0"/>
        <strike val="0"/>
        <condense val="0"/>
        <extend val="0"/>
        <outline val="0"/>
        <shadow val="0"/>
        <u val="none"/>
        <vertAlign val="baseline"/>
        <sz val="11"/>
        <color auto="1"/>
        <name val="Calibri"/>
        <family val="2"/>
        <scheme val="none"/>
      </font>
      <alignment horizontal="center" vertical="top" textRotation="0" wrapText="1" indent="0" justifyLastLine="0" shrinkToFit="0" readingOrder="0"/>
      <border diagonalUp="0" diagonalDown="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29350F-F784-AD40-BAE6-4EE6174009A7}" name="Table1" displayName="Table1" ref="A1:G1048565" totalsRowShown="0" headerRowDxfId="10" dataDxfId="9" headerRowBorderDxfId="7" tableBorderDxfId="8">
  <autoFilter ref="A1:G1048565" xr:uid="{5829350F-F784-AD40-BAE6-4EE6174009A7}"/>
  <sortState xmlns:xlrd2="http://schemas.microsoft.com/office/spreadsheetml/2017/richdata2" ref="A2:G123">
    <sortCondition ref="B1:B1048565"/>
  </sortState>
  <tableColumns count="7">
    <tableColumn id="1" xr3:uid="{3D949CA5-B537-5246-AAD5-602C133940C8}" name="Technique ID" dataDxfId="6"/>
    <tableColumn id="2" xr3:uid="{74652116-25D3-8046-9C36-26586BAFBFEF}" name="Technique" dataDxfId="5"/>
    <tableColumn id="3" xr3:uid="{A9BFF3EC-7D87-DD4A-A482-10EA056B532E}" name="Description" dataDxfId="4"/>
    <tableColumn id="4" xr3:uid="{84FE6BD4-C627-014A-AD16-6A3FC8F8AA81}" name="Tactic ID" dataDxfId="3"/>
    <tableColumn id="5" xr3:uid="{CC99CB09-F797-E74B-88ED-B4281EC02CCE}" name="Tactic Name" dataDxfId="2"/>
    <tableColumn id="7" xr3:uid="{59D2F6CE-E53A-E141-9556-311B3302D753}" name="Reviewer" dataDxfId="1"/>
    <tableColumn id="8" xr3:uid="{BD2CDFAC-0D0E-AE4F-962A-AE16B32F246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3"/>
  <sheetViews>
    <sheetView workbookViewId="0">
      <pane ySplit="1" topLeftCell="A82" activePane="bottomLeft" state="frozen"/>
      <selection pane="bottomLeft" activeCell="E88" sqref="E88"/>
    </sheetView>
  </sheetViews>
  <sheetFormatPr defaultColWidth="8.85546875" defaultRowHeight="15"/>
  <cols>
    <col min="1" max="1" width="16.28515625" style="12" bestFit="1" customWidth="1"/>
    <col min="2" max="2" width="28.85546875" style="12" customWidth="1"/>
    <col min="3" max="3" width="75.7109375" style="12" customWidth="1"/>
    <col min="4" max="4" width="8.42578125" style="12" customWidth="1"/>
    <col min="5" max="5" width="13.85546875" style="12" customWidth="1"/>
    <col min="6" max="6" width="28.42578125" style="12" customWidth="1"/>
    <col min="7" max="7" width="30.28515625" style="12" customWidth="1"/>
  </cols>
  <sheetData>
    <row r="1" spans="1:7" ht="15.95">
      <c r="A1" s="1" t="s">
        <v>0</v>
      </c>
      <c r="B1" s="2" t="s">
        <v>1</v>
      </c>
      <c r="C1" s="4" t="s">
        <v>2</v>
      </c>
      <c r="D1" s="2" t="s">
        <v>3</v>
      </c>
      <c r="E1" s="2" t="s">
        <v>4</v>
      </c>
      <c r="F1" s="2" t="s">
        <v>5</v>
      </c>
      <c r="G1" s="2" t="s">
        <v>6</v>
      </c>
    </row>
    <row r="2" spans="1:7" ht="96">
      <c r="A2" s="12" t="s">
        <v>7</v>
      </c>
      <c r="B2" s="12" t="s">
        <v>8</v>
      </c>
      <c r="C2" s="12" t="s">
        <v>9</v>
      </c>
      <c r="D2" s="12" t="str">
        <f>IF(ISERROR(FIND(",",E2)),INDEX(Tactics!$A$2:$A$8,MATCH(TRIM(E2),Tactics!$B$2:$B$8,0)),_xlfn.TEXTJOIN(", ",TRUE,INDEX(Tactics!$A$2:$A$8,MATCH(TRIM(LEFT(E2,FIND(",",E2)-1)),Tactics!$B$2:$B$8,0)),INDEX(Tactics!$A$2:$A$8,MATCH(TRIM(MID(E2,FIND(",",E2)+1,LEN(E2))),Tactics!$B$2:$B$8,0))))</f>
        <v>TA0005</v>
      </c>
      <c r="E2" s="12" t="s">
        <v>10</v>
      </c>
    </row>
    <row r="3" spans="1:7" ht="96">
      <c r="A3" s="12" t="s">
        <v>11</v>
      </c>
      <c r="B3" s="12" t="s">
        <v>12</v>
      </c>
      <c r="C3" s="12" t="s">
        <v>13</v>
      </c>
      <c r="D3" s="12" t="str">
        <f>IF(ISERROR(FIND(",",E3)),INDEX(Tactics!$A$2:$A$8,MATCH(TRIM(E3),Tactics!$B$2:$B$8,0)),_xlfn.TEXTJOIN(", ",TRUE,INDEX(Tactics!$A$2:$A$8,MATCH(TRIM(LEFT(E3,FIND(",",E3)-1)),Tactics!$B$2:$B$8,0)),INDEX(Tactics!$A$2:$A$8,MATCH(TRIM(MID(E3,FIND(",",E3)+1,LEN(E3))),Tactics!$B$2:$B$8,0))))</f>
        <v>FA0001</v>
      </c>
      <c r="E3" s="12" t="s">
        <v>14</v>
      </c>
    </row>
    <row r="4" spans="1:7" ht="80.099999999999994">
      <c r="A4" s="12" t="s">
        <v>15</v>
      </c>
      <c r="B4" s="12" t="s">
        <v>16</v>
      </c>
      <c r="C4" s="12" t="s">
        <v>17</v>
      </c>
      <c r="D4" s="12" t="str">
        <f>IF(ISERROR(FIND(",",E4)),INDEX(Tactics!$A$2:$A$8,MATCH(TRIM(E4),Tactics!$B$2:$B$8,0)),_xlfn.TEXTJOIN(", ",TRUE,INDEX(Tactics!$A$2:$A$8,MATCH(TRIM(LEFT(E4,FIND(",",E4)-1)),Tactics!$B$2:$B$8,0)),INDEX(Tactics!$A$2:$A$8,MATCH(TRIM(MID(E4,FIND(",",E4)+1,LEN(E4))),Tactics!$B$2:$B$8,0))))</f>
        <v>TA0001, TA0002</v>
      </c>
      <c r="E4" s="12" t="s">
        <v>18</v>
      </c>
    </row>
    <row r="5" spans="1:7" ht="80.099999999999994">
      <c r="A5" s="12" t="s">
        <v>19</v>
      </c>
      <c r="B5" s="12" t="s">
        <v>20</v>
      </c>
      <c r="C5" s="12" t="s">
        <v>21</v>
      </c>
      <c r="D5" s="12" t="str">
        <f>IF(ISERROR(FIND(",",E5)),INDEX(Tactics!$A$2:$A$8,MATCH(TRIM(E5),Tactics!$B$2:$B$8,0)),_xlfn.TEXTJOIN(", ",TRUE,INDEX(Tactics!$A$2:$A$8,MATCH(TRIM(LEFT(E5,FIND(",",E5)-1)),Tactics!$B$2:$B$8,0)),INDEX(Tactics!$A$2:$A$8,MATCH(TRIM(MID(E5,FIND(",",E5)+1,LEN(E5))),Tactics!$B$2:$B$8,0))))</f>
        <v>TA0001, TA0002</v>
      </c>
      <c r="E5" s="12" t="s">
        <v>18</v>
      </c>
    </row>
    <row r="6" spans="1:7" ht="80.099999999999994">
      <c r="A6" s="12" t="s">
        <v>22</v>
      </c>
      <c r="B6" s="12" t="s">
        <v>23</v>
      </c>
      <c r="C6" s="12" t="s">
        <v>24</v>
      </c>
      <c r="D6" s="12" t="str">
        <f>IF(ISERROR(FIND(",",E6)),INDEX(Tactics!$A$2:$A$8,MATCH(TRIM(E6),Tactics!$B$2:$B$8,0)),_xlfn.TEXTJOIN(", ",TRUE,INDEX(Tactics!$A$2:$A$8,MATCH(TRIM(LEFT(E6,FIND(",",E6)-1)),Tactics!$B$2:$B$8,0)),INDEX(Tactics!$A$2:$A$8,MATCH(TRIM(MID(E6,FIND(",",E6)+1,LEN(E6))),Tactics!$B$2:$B$8,0))))</f>
        <v>TA0001, TA0002</v>
      </c>
      <c r="E6" s="12" t="s">
        <v>18</v>
      </c>
    </row>
    <row r="7" spans="1:7" ht="63.95">
      <c r="A7" s="12" t="s">
        <v>25</v>
      </c>
      <c r="B7" s="12" t="s">
        <v>26</v>
      </c>
      <c r="C7" s="12" t="s">
        <v>27</v>
      </c>
      <c r="D7" s="12" t="str">
        <f>IF(ISERROR(FIND(",",E7)),INDEX(Tactics!$A$2:$A$8,MATCH(TRIM(E7),Tactics!$B$2:$B$8,0)),_xlfn.TEXTJOIN(", ",TRUE,INDEX(Tactics!$A$2:$A$8,MATCH(TRIM(LEFT(E7,FIND(",",E7)-1)),Tactics!$B$2:$B$8,0)),INDEX(Tactics!$A$2:$A$8,MATCH(TRIM(MID(E7,FIND(",",E7)+1,LEN(E7))),Tactics!$B$2:$B$8,0))))</f>
        <v>TA0002</v>
      </c>
      <c r="E7" s="12" t="s">
        <v>28</v>
      </c>
    </row>
    <row r="8" spans="1:7" ht="80.099999999999994">
      <c r="A8" s="12" t="s">
        <v>29</v>
      </c>
      <c r="B8" s="12" t="s">
        <v>30</v>
      </c>
      <c r="C8" s="12" t="s">
        <v>31</v>
      </c>
      <c r="D8" s="12" t="str">
        <f>IF(ISERROR(FIND(",",E8)),INDEX(Tactics!$A$2:$A$8,MATCH(TRIM(E8),Tactics!$B$2:$B$8,0)),_xlfn.TEXTJOIN(", ",TRUE,INDEX(Tactics!$A$2:$A$8,MATCH(TRIM(LEFT(E8,FIND(",",E8)-1)),Tactics!$B$2:$B$8,0)),INDEX(Tactics!$A$2:$A$8,MATCH(TRIM(MID(E8,FIND(",",E8)+1,LEN(E8))),Tactics!$B$2:$B$8,0))))</f>
        <v>TA0001, FA0001</v>
      </c>
      <c r="E8" s="12" t="s">
        <v>32</v>
      </c>
    </row>
    <row r="9" spans="1:7" ht="80.099999999999994">
      <c r="A9" s="12" t="s">
        <v>33</v>
      </c>
      <c r="B9" s="12" t="s">
        <v>34</v>
      </c>
      <c r="C9" s="12" t="s">
        <v>35</v>
      </c>
      <c r="D9" s="12" t="str">
        <f>IF(ISERROR(FIND(",",E9)),INDEX(Tactics!$A$2:$A$8,MATCH(TRIM(E9),Tactics!$B$2:$B$8,0)),_xlfn.TEXTJOIN(", ",TRUE,INDEX(Tactics!$A$2:$A$8,MATCH(TRIM(LEFT(E9,FIND(",",E9)-1)),Tactics!$B$2:$B$8,0)),INDEX(Tactics!$A$2:$A$8,MATCH(TRIM(MID(E9,FIND(",",E9)+1,LEN(E9))),Tactics!$B$2:$B$8,0))))</f>
        <v>TA0001</v>
      </c>
      <c r="E9" s="12" t="s">
        <v>36</v>
      </c>
    </row>
    <row r="10" spans="1:7" ht="80.099999999999994">
      <c r="A10" s="12" t="s">
        <v>37</v>
      </c>
      <c r="B10" s="12" t="s">
        <v>38</v>
      </c>
      <c r="C10" s="12" t="s">
        <v>39</v>
      </c>
      <c r="D10" s="12" t="str">
        <f>IF(ISERROR(FIND(",",E10)),INDEX(Tactics!$A$2:$A$8,MATCH(TRIM(E10),Tactics!$B$2:$B$8,0)),_xlfn.TEXTJOIN(", ",TRUE,INDEX(Tactics!$A$2:$A$8,MATCH(TRIM(LEFT(E10,FIND(",",E10)-1)),Tactics!$B$2:$B$8,0)),INDEX(Tactics!$A$2:$A$8,MATCH(TRIM(MID(E10,FIND(",",E10)+1,LEN(E10))),Tactics!$B$2:$B$8,0))))</f>
        <v>FA0001</v>
      </c>
      <c r="E10" s="12" t="s">
        <v>14</v>
      </c>
    </row>
    <row r="11" spans="1:7" ht="80.099999999999994">
      <c r="A11" s="12" t="s">
        <v>40</v>
      </c>
      <c r="B11" s="12" t="s">
        <v>41</v>
      </c>
      <c r="C11" s="12" t="s">
        <v>42</v>
      </c>
      <c r="D11" s="12" t="str">
        <f>IF(ISERROR(FIND(",",E11)),INDEX(Tactics!$A$2:$A$8,MATCH(TRIM(E11),Tactics!$B$2:$B$8,0)),_xlfn.TEXTJOIN(", ",TRUE,INDEX(Tactics!$A$2:$A$8,MATCH(TRIM(LEFT(E11,FIND(",",E11)-1)),Tactics!$B$2:$B$8,0)),INDEX(Tactics!$A$2:$A$8,MATCH(TRIM(MID(E11,FIND(",",E11)+1,LEN(E11))),Tactics!$B$2:$B$8,0))))</f>
        <v>FA0001</v>
      </c>
      <c r="E11" s="12" t="s">
        <v>14</v>
      </c>
    </row>
    <row r="12" spans="1:7" ht="80.099999999999994">
      <c r="A12" s="12" t="s">
        <v>43</v>
      </c>
      <c r="B12" s="12" t="s">
        <v>44</v>
      </c>
      <c r="C12" s="12" t="s">
        <v>45</v>
      </c>
      <c r="D12" s="12" t="str">
        <f>IF(ISERROR(FIND(",",E12)),INDEX(Tactics!$A$2:$A$8,MATCH(TRIM(E12),Tactics!$B$2:$B$8,0)),_xlfn.TEXTJOIN(", ",TRUE,INDEX(Tactics!$A$2:$A$8,MATCH(TRIM(LEFT(E12,FIND(",",E12)-1)),Tactics!$B$2:$B$8,0)),INDEX(Tactics!$A$2:$A$8,MATCH(TRIM(MID(E12,FIND(",",E12)+1,LEN(E12))),Tactics!$B$2:$B$8,0))))</f>
        <v>FA0001</v>
      </c>
      <c r="E12" s="12" t="s">
        <v>14</v>
      </c>
    </row>
    <row r="13" spans="1:7" ht="80.099999999999994">
      <c r="A13" s="12" t="s">
        <v>46</v>
      </c>
      <c r="B13" s="12" t="s">
        <v>47</v>
      </c>
      <c r="C13" s="12" t="s">
        <v>48</v>
      </c>
      <c r="D13" s="12" t="str">
        <f>IF(ISERROR(FIND(",",E13)),INDEX(Tactics!$A$2:$A$8,MATCH(TRIM(E13),Tactics!$B$2:$B$8,0)),_xlfn.TEXTJOIN(", ",TRUE,INDEX(Tactics!$A$2:$A$8,MATCH(TRIM(LEFT(E13,FIND(",",E13)-1)),Tactics!$B$2:$B$8,0)),INDEX(Tactics!$A$2:$A$8,MATCH(TRIM(MID(E13,FIND(",",E13)+1,LEN(E13))),Tactics!$B$2:$B$8,0))))</f>
        <v>FA0001</v>
      </c>
      <c r="E13" s="12" t="s">
        <v>14</v>
      </c>
    </row>
    <row r="14" spans="1:7" ht="80.099999999999994">
      <c r="A14" s="12" t="s">
        <v>49</v>
      </c>
      <c r="B14" s="12" t="s">
        <v>50</v>
      </c>
      <c r="C14" s="12" t="s">
        <v>51</v>
      </c>
      <c r="D14" s="12" t="str">
        <f>IF(ISERROR(FIND(",",E14)),INDEX(Tactics!$A$2:$A$8,MATCH(TRIM(E14),Tactics!$B$2:$B$8,0)),_xlfn.TEXTJOIN(", ",TRUE,INDEX(Tactics!$A$2:$A$8,MATCH(TRIM(LEFT(E14,FIND(",",E14)-1)),Tactics!$B$2:$B$8,0)),INDEX(Tactics!$A$2:$A$8,MATCH(TRIM(MID(E14,FIND(",",E14)+1,LEN(E14))),Tactics!$B$2:$B$8,0))))</f>
        <v>FA0001</v>
      </c>
      <c r="E14" s="12" t="s">
        <v>14</v>
      </c>
    </row>
    <row r="15" spans="1:7" ht="80.099999999999994">
      <c r="A15" s="12" t="s">
        <v>52</v>
      </c>
      <c r="B15" s="12" t="s">
        <v>53</v>
      </c>
      <c r="C15" s="12" t="s">
        <v>54</v>
      </c>
      <c r="D15" s="12" t="str">
        <f>IF(ISERROR(FIND(",",E15)),INDEX(Tactics!$A$2:$A$8,MATCH(TRIM(E15),Tactics!$B$2:$B$8,0)),_xlfn.TEXTJOIN(", ",TRUE,INDEX(Tactics!$A$2:$A$8,MATCH(TRIM(LEFT(E15,FIND(",",E15)-1)),Tactics!$B$2:$B$8,0)),INDEX(Tactics!$A$2:$A$8,MATCH(TRIM(MID(E15,FIND(",",E15)+1,LEN(E15))),Tactics!$B$2:$B$8,0))))</f>
        <v>FA0001</v>
      </c>
      <c r="E15" s="12" t="s">
        <v>14</v>
      </c>
    </row>
    <row r="16" spans="1:7" ht="80.099999999999994">
      <c r="A16" s="12" t="s">
        <v>55</v>
      </c>
      <c r="B16" s="12" t="s">
        <v>56</v>
      </c>
      <c r="C16" s="12" t="s">
        <v>57</v>
      </c>
      <c r="D16" s="12" t="str">
        <f>IF(ISERROR(FIND(",",E16)),INDEX(Tactics!$A$2:$A$8,MATCH(TRIM(E16),Tactics!$B$2:$B$8,0)),_xlfn.TEXTJOIN(", ",TRUE,INDEX(Tactics!$A$2:$A$8,MATCH(TRIM(LEFT(E16,FIND(",",E16)-1)),Tactics!$B$2:$B$8,0)),INDEX(Tactics!$A$2:$A$8,MATCH(TRIM(MID(E16,FIND(",",E16)+1,LEN(E16))),Tactics!$B$2:$B$8,0))))</f>
        <v>FA0001</v>
      </c>
      <c r="E16" s="12" t="s">
        <v>14</v>
      </c>
    </row>
    <row r="17" spans="1:5" ht="80.099999999999994">
      <c r="A17" s="12" t="s">
        <v>58</v>
      </c>
      <c r="B17" s="12" t="s">
        <v>59</v>
      </c>
      <c r="C17" s="12" t="s">
        <v>60</v>
      </c>
      <c r="D17" s="12" t="str">
        <f>IF(ISERROR(FIND(",",E17)),INDEX(Tactics!$A$2:$A$8,MATCH(TRIM(E17),Tactics!$B$2:$B$8,0)),_xlfn.TEXTJOIN(", ",TRUE,INDEX(Tactics!$A$2:$A$8,MATCH(TRIM(LEFT(E17,FIND(",",E17)-1)),Tactics!$B$2:$B$8,0)),INDEX(Tactics!$A$2:$A$8,MATCH(TRIM(MID(E17,FIND(",",E17)+1,LEN(E17))),Tactics!$B$2:$B$8,0))))</f>
        <v>FA0001</v>
      </c>
      <c r="E17" s="12" t="s">
        <v>14</v>
      </c>
    </row>
    <row r="18" spans="1:5" ht="80.099999999999994">
      <c r="A18" s="12" t="s">
        <v>61</v>
      </c>
      <c r="B18" s="12" t="s">
        <v>62</v>
      </c>
      <c r="C18" s="12" t="s">
        <v>63</v>
      </c>
      <c r="D18" s="12" t="str">
        <f>IF(ISERROR(FIND(",",E18)),INDEX(Tactics!$A$2:$A$8,MATCH(TRIM(E18),Tactics!$B$2:$B$8,0)),_xlfn.TEXTJOIN(", ",TRUE,INDEX(Tactics!$A$2:$A$8,MATCH(TRIM(LEFT(E18,FIND(",",E18)-1)),Tactics!$B$2:$B$8,0)),INDEX(Tactics!$A$2:$A$8,MATCH(TRIM(MID(E18,FIND(",",E18)+1,LEN(E18))),Tactics!$B$2:$B$8,0))))</f>
        <v>FA0001</v>
      </c>
      <c r="E18" s="12" t="s">
        <v>14</v>
      </c>
    </row>
    <row r="19" spans="1:5" ht="80.099999999999994">
      <c r="A19" s="12" t="s">
        <v>64</v>
      </c>
      <c r="B19" s="12" t="s">
        <v>65</v>
      </c>
      <c r="C19" s="12" t="s">
        <v>66</v>
      </c>
      <c r="D19" s="12" t="str">
        <f>IF(ISERROR(FIND(",",E19)),INDEX(Tactics!$A$2:$A$8,MATCH(TRIM(E19),Tactics!$B$2:$B$8,0)),_xlfn.TEXTJOIN(", ",TRUE,INDEX(Tactics!$A$2:$A$8,MATCH(TRIM(LEFT(E19,FIND(",",E19)-1)),Tactics!$B$2:$B$8,0)),INDEX(Tactics!$A$2:$A$8,MATCH(TRIM(MID(E19,FIND(",",E19)+1,LEN(E19))),Tactics!$B$2:$B$8,0))))</f>
        <v>FA0001</v>
      </c>
      <c r="E19" s="12" t="s">
        <v>14</v>
      </c>
    </row>
    <row r="20" spans="1:5" ht="80.099999999999994">
      <c r="A20" s="12" t="s">
        <v>67</v>
      </c>
      <c r="B20" s="12" t="s">
        <v>68</v>
      </c>
      <c r="C20" s="12" t="s">
        <v>69</v>
      </c>
      <c r="D20" s="12" t="str">
        <f>IF(ISERROR(FIND(",",E20)),INDEX(Tactics!$A$2:$A$8,MATCH(TRIM(E20),Tactics!$B$2:$B$8,0)),_xlfn.TEXTJOIN(", ",TRUE,INDEX(Tactics!$A$2:$A$8,MATCH(TRIM(LEFT(E20,FIND(",",E20)-1)),Tactics!$B$2:$B$8,0)),INDEX(Tactics!$A$2:$A$8,MATCH(TRIM(MID(E20,FIND(",",E20)+1,LEN(E20))),Tactics!$B$2:$B$8,0))))</f>
        <v>FA0001</v>
      </c>
      <c r="E20" s="12" t="s">
        <v>14</v>
      </c>
    </row>
    <row r="21" spans="1:5" ht="80.099999999999994">
      <c r="A21" s="12" t="s">
        <v>70</v>
      </c>
      <c r="B21" s="12" t="s">
        <v>71</v>
      </c>
      <c r="C21" s="12" t="s">
        <v>72</v>
      </c>
      <c r="D21" s="12" t="str">
        <f>IF(ISERROR(FIND(",",E21)),INDEX(Tactics!$A$2:$A$8,MATCH(TRIM(E21),Tactics!$B$2:$B$8,0)),_xlfn.TEXTJOIN(", ",TRUE,INDEX(Tactics!$A$2:$A$8,MATCH(TRIM(LEFT(E21,FIND(",",E21)-1)),Tactics!$B$2:$B$8,0)),INDEX(Tactics!$A$2:$A$8,MATCH(TRIM(MID(E21,FIND(",",E21)+1,LEN(E21))),Tactics!$B$2:$B$8,0))))</f>
        <v>FA0001</v>
      </c>
      <c r="E21" s="12" t="s">
        <v>14</v>
      </c>
    </row>
    <row r="22" spans="1:5" ht="80.099999999999994">
      <c r="A22" s="12" t="s">
        <v>73</v>
      </c>
      <c r="B22" s="12" t="s">
        <v>74</v>
      </c>
      <c r="C22" s="12" t="s">
        <v>75</v>
      </c>
      <c r="D22" s="12" t="str">
        <f>IF(ISERROR(FIND(",",E22)),INDEX(Tactics!$A$2:$A$8,MATCH(TRIM(E22),Tactics!$B$2:$B$8,0)),_xlfn.TEXTJOIN(", ",TRUE,INDEX(Tactics!$A$2:$A$8,MATCH(TRIM(LEFT(E22,FIND(",",E22)-1)),Tactics!$B$2:$B$8,0)),INDEX(Tactics!$A$2:$A$8,MATCH(TRIM(MID(E22,FIND(",",E22)+1,LEN(E22))),Tactics!$B$2:$B$8,0))))</f>
        <v>TA0001</v>
      </c>
      <c r="E22" s="12" t="s">
        <v>36</v>
      </c>
    </row>
    <row r="23" spans="1:5" ht="159.94999999999999">
      <c r="A23" s="12" t="s">
        <v>76</v>
      </c>
      <c r="B23" s="12" t="s">
        <v>77</v>
      </c>
      <c r="C23" s="12" t="s">
        <v>78</v>
      </c>
      <c r="D23" s="12" t="str">
        <f>IF(ISERROR(FIND(",",E23)),INDEX(Tactics!$A$2:$A$8,MATCH(TRIM(E23),Tactics!$B$2:$B$8,0)),_xlfn.TEXTJOIN(", ",TRUE,INDEX(Tactics!$A$2:$A$8,MATCH(TRIM(LEFT(E23,FIND(",",E23)-1)),Tactics!$B$2:$B$8,0)),INDEX(Tactics!$A$2:$A$8,MATCH(TRIM(MID(E23,FIND(",",E23)+1,LEN(E23))),Tactics!$B$2:$B$8,0))))</f>
        <v>TA0001</v>
      </c>
      <c r="E23" s="12" t="s">
        <v>36</v>
      </c>
    </row>
    <row r="24" spans="1:5" ht="192">
      <c r="A24" s="12" t="s">
        <v>79</v>
      </c>
      <c r="B24" s="12" t="s">
        <v>80</v>
      </c>
      <c r="C24" s="12" t="s">
        <v>81</v>
      </c>
      <c r="D24" s="12" t="str">
        <f>IF(ISERROR(FIND(",",E24)),INDEX(Tactics!$A$2:$A$8,MATCH(TRIM(E24),Tactics!$B$2:$B$8,0)),_xlfn.TEXTJOIN(", ",TRUE,INDEX(Tactics!$A$2:$A$8,MATCH(TRIM(LEFT(E24,FIND(",",E24)-1)),Tactics!$B$2:$B$8,0)),INDEX(Tactics!$A$2:$A$8,MATCH(TRIM(MID(E24,FIND(",",E24)+1,LEN(E24))),Tactics!$B$2:$B$8,0))))</f>
        <v>TA0001</v>
      </c>
      <c r="E24" s="12" t="s">
        <v>36</v>
      </c>
    </row>
    <row r="25" spans="1:5" ht="111.95">
      <c r="A25" s="12" t="s">
        <v>82</v>
      </c>
      <c r="B25" s="12" t="s">
        <v>83</v>
      </c>
      <c r="C25" s="12" t="s">
        <v>84</v>
      </c>
      <c r="D25" s="12" t="str">
        <f>IF(ISERROR(FIND(",",E25)),INDEX(Tactics!$A$2:$A$8,MATCH(TRIM(E25),Tactics!$B$2:$B$8,0)),_xlfn.TEXTJOIN(", ",TRUE,INDEX(Tactics!$A$2:$A$8,MATCH(TRIM(LEFT(E25,FIND(",",E25)-1)),Tactics!$B$2:$B$8,0)),INDEX(Tactics!$A$2:$A$8,MATCH(TRIM(MID(E25,FIND(",",E25)+1,LEN(E25))),Tactics!$B$2:$B$8,0))))</f>
        <v>TA0001</v>
      </c>
      <c r="E25" s="12" t="s">
        <v>36</v>
      </c>
    </row>
    <row r="26" spans="1:5" ht="80.099999999999994">
      <c r="A26" s="12" t="s">
        <v>85</v>
      </c>
      <c r="B26" s="12" t="s">
        <v>86</v>
      </c>
      <c r="C26" s="12" t="s">
        <v>87</v>
      </c>
      <c r="D26" s="12" t="str">
        <f>IF(ISERROR(FIND(",",E26)),INDEX(Tactics!$A$2:$A$8,MATCH(TRIM(E26),Tactics!$B$2:$B$8,0)),_xlfn.TEXTJOIN(", ",TRUE,INDEX(Tactics!$A$2:$A$8,MATCH(TRIM(LEFT(E26,FIND(",",E26)-1)),Tactics!$B$2:$B$8,0)),INDEX(Tactics!$A$2:$A$8,MATCH(TRIM(MID(E26,FIND(",",E26)+1,LEN(E26))),Tactics!$B$2:$B$8,0))))</f>
        <v>TA0002</v>
      </c>
      <c r="E26" s="12" t="s">
        <v>28</v>
      </c>
    </row>
    <row r="27" spans="1:5" ht="80.099999999999994">
      <c r="A27" s="12" t="s">
        <v>88</v>
      </c>
      <c r="B27" s="12" t="s">
        <v>89</v>
      </c>
      <c r="C27" s="12" t="s">
        <v>90</v>
      </c>
      <c r="D27" s="12" t="str">
        <f>IF(ISERROR(FIND(",",E27)),INDEX(Tactics!$A$2:$A$8,MATCH(TRIM(E27),Tactics!$B$2:$B$8,0)),_xlfn.TEXTJOIN(", ",TRUE,INDEX(Tactics!$A$2:$A$8,MATCH(TRIM(LEFT(E27,FIND(",",E27)-1)),Tactics!$B$2:$B$8,0)),INDEX(Tactics!$A$2:$A$8,MATCH(TRIM(MID(E27,FIND(",",E27)+1,LEN(E27))),Tactics!$B$2:$B$8,0))))</f>
        <v>TA0042</v>
      </c>
      <c r="E27" s="12" t="s">
        <v>91</v>
      </c>
    </row>
    <row r="28" spans="1:5" ht="96">
      <c r="A28" s="12" t="s">
        <v>92</v>
      </c>
      <c r="B28" s="12" t="s">
        <v>93</v>
      </c>
      <c r="C28" s="12" t="s">
        <v>94</v>
      </c>
      <c r="D28" s="12" t="str">
        <f>IF(ISERROR(FIND(",",E28)),INDEX(Tactics!$A$2:$A$8,MATCH(TRIM(E28),Tactics!$B$2:$B$8,0)),_xlfn.TEXTJOIN(", ",TRUE,INDEX(Tactics!$A$2:$A$8,MATCH(TRIM(LEFT(E28,FIND(",",E28)-1)),Tactics!$B$2:$B$8,0)),INDEX(Tactics!$A$2:$A$8,MATCH(TRIM(MID(E28,FIND(",",E28)+1,LEN(E28))),Tactics!$B$2:$B$8,0))))</f>
        <v>TA0042</v>
      </c>
      <c r="E28" s="12" t="s">
        <v>91</v>
      </c>
    </row>
    <row r="29" spans="1:5" ht="80.099999999999994">
      <c r="A29" s="12" t="s">
        <v>95</v>
      </c>
      <c r="B29" s="12" t="s">
        <v>96</v>
      </c>
      <c r="C29" s="12" t="s">
        <v>97</v>
      </c>
      <c r="D29" s="12" t="str">
        <f>IF(ISERROR(FIND(",",E29)),INDEX(Tactics!$A$2:$A$8,MATCH(TRIM(E29),Tactics!$B$2:$B$8,0)),_xlfn.TEXTJOIN(", ",TRUE,INDEX(Tactics!$A$2:$A$8,MATCH(TRIM(LEFT(E29,FIND(",",E29)-1)),Tactics!$B$2:$B$8,0)),INDEX(Tactics!$A$2:$A$8,MATCH(TRIM(MID(E29,FIND(",",E29)+1,LEN(E29))),Tactics!$B$2:$B$8,0))))</f>
        <v>TA0042</v>
      </c>
      <c r="E29" s="12" t="s">
        <v>91</v>
      </c>
    </row>
    <row r="30" spans="1:5" ht="80.099999999999994">
      <c r="A30" s="12" t="s">
        <v>98</v>
      </c>
      <c r="B30" s="12" t="s">
        <v>99</v>
      </c>
      <c r="C30" s="12" t="s">
        <v>100</v>
      </c>
      <c r="D30" s="12" t="str">
        <f>IF(ISERROR(FIND(",",E30)),INDEX(Tactics!$A$2:$A$8,MATCH(TRIM(E30),Tactics!$B$2:$B$8,0)),_xlfn.TEXTJOIN(", ",TRUE,INDEX(Tactics!$A$2:$A$8,MATCH(TRIM(LEFT(E30,FIND(",",E30)-1)),Tactics!$B$2:$B$8,0)),INDEX(Tactics!$A$2:$A$8,MATCH(TRIM(MID(E30,FIND(",",E30)+1,LEN(E30))),Tactics!$B$2:$B$8,0))))</f>
        <v>TA0042</v>
      </c>
      <c r="E30" s="12" t="s">
        <v>91</v>
      </c>
    </row>
    <row r="31" spans="1:5" ht="80.099999999999994">
      <c r="A31" s="12" t="s">
        <v>101</v>
      </c>
      <c r="B31" s="12" t="s">
        <v>102</v>
      </c>
      <c r="C31" s="12" t="s">
        <v>103</v>
      </c>
      <c r="D31" s="12" t="str">
        <f>IF(ISERROR(FIND(",",E31)),INDEX(Tactics!$A$2:$A$8,MATCH(TRIM(E31),Tactics!$B$2:$B$8,0)),_xlfn.TEXTJOIN(", ",TRUE,INDEX(Tactics!$A$2:$A$8,MATCH(TRIM(LEFT(E31,FIND(",",E31)-1)),Tactics!$B$2:$B$8,0)),INDEX(Tactics!$A$2:$A$8,MATCH(TRIM(MID(E31,FIND(",",E31)+1,LEN(E31))),Tactics!$B$2:$B$8,0))))</f>
        <v>TA0042</v>
      </c>
      <c r="E31" s="12" t="s">
        <v>91</v>
      </c>
    </row>
    <row r="32" spans="1:5" ht="96">
      <c r="A32" s="12" t="s">
        <v>104</v>
      </c>
      <c r="B32" s="12" t="s">
        <v>105</v>
      </c>
      <c r="C32" s="12" t="s">
        <v>106</v>
      </c>
      <c r="D32" s="12" t="str">
        <f>IF(ISERROR(FIND(",",E32)),INDEX(Tactics!$A$2:$A$8,MATCH(TRIM(E32),Tactics!$B$2:$B$8,0)),_xlfn.TEXTJOIN(", ",TRUE,INDEX(Tactics!$A$2:$A$8,MATCH(TRIM(LEFT(E32,FIND(",",E32)-1)),Tactics!$B$2:$B$8,0)),INDEX(Tactics!$A$2:$A$8,MATCH(TRIM(MID(E32,FIND(",",E32)+1,LEN(E32))),Tactics!$B$2:$B$8,0))))</f>
        <v>TA0001, FA0001</v>
      </c>
      <c r="E32" s="12" t="s">
        <v>32</v>
      </c>
    </row>
    <row r="33" spans="1:5" ht="80.099999999999994">
      <c r="A33" s="12" t="s">
        <v>107</v>
      </c>
      <c r="B33" s="12" t="s">
        <v>108</v>
      </c>
      <c r="C33" s="12" t="s">
        <v>109</v>
      </c>
      <c r="D33" s="12" t="str">
        <f>IF(ISERROR(FIND(",",E33)),INDEX(Tactics!$A$2:$A$8,MATCH(TRIM(E33),Tactics!$B$2:$B$8,0)),_xlfn.TEXTJOIN(", ",TRUE,INDEX(Tactics!$A$2:$A$8,MATCH(TRIM(LEFT(E33,FIND(",",E33)-1)),Tactics!$B$2:$B$8,0)),INDEX(Tactics!$A$2:$A$8,MATCH(TRIM(MID(E33,FIND(",",E33)+1,LEN(E33))),Tactics!$B$2:$B$8,0))))</f>
        <v>TA0001, FA0001</v>
      </c>
      <c r="E33" s="12" t="s">
        <v>32</v>
      </c>
    </row>
    <row r="34" spans="1:5" ht="96">
      <c r="A34" s="12" t="s">
        <v>110</v>
      </c>
      <c r="B34" s="12" t="s">
        <v>111</v>
      </c>
      <c r="C34" s="12" t="s">
        <v>112</v>
      </c>
      <c r="D34" s="12" t="str">
        <f>IF(ISERROR(FIND(",",E34)),INDEX(Tactics!$A$2:$A$8,MATCH(TRIM(E34),Tactics!$B$2:$B$8,0)),_xlfn.TEXTJOIN(", ",TRUE,INDEX(Tactics!$A$2:$A$8,MATCH(TRIM(LEFT(E34,FIND(",",E34)-1)),Tactics!$B$2:$B$8,0)),INDEX(Tactics!$A$2:$A$8,MATCH(TRIM(MID(E34,FIND(",",E34)+1,LEN(E34))),Tactics!$B$2:$B$8,0))))</f>
        <v>TA0001, FA0001</v>
      </c>
      <c r="E34" s="12" t="s">
        <v>32</v>
      </c>
    </row>
    <row r="35" spans="1:5" ht="80.099999999999994">
      <c r="A35" s="12" t="s">
        <v>113</v>
      </c>
      <c r="B35" s="12" t="s">
        <v>114</v>
      </c>
      <c r="C35" s="12" t="s">
        <v>115</v>
      </c>
      <c r="D35" s="12" t="str">
        <f>IF(ISERROR(FIND(",",E35)),INDEX(Tactics!$A$2:$A$8,MATCH(TRIM(E35),Tactics!$B$2:$B$8,0)),_xlfn.TEXTJOIN(", ",TRUE,INDEX(Tactics!$A$2:$A$8,MATCH(TRIM(LEFT(E35,FIND(",",E35)-1)),Tactics!$B$2:$B$8,0)),INDEX(Tactics!$A$2:$A$8,MATCH(TRIM(MID(E35,FIND(",",E35)+1,LEN(E35))),Tactics!$B$2:$B$8,0))))</f>
        <v>TA0001, FA0001</v>
      </c>
      <c r="E35" s="12" t="s">
        <v>32</v>
      </c>
    </row>
    <row r="36" spans="1:5" ht="96">
      <c r="A36" s="12" t="s">
        <v>116</v>
      </c>
      <c r="B36" s="12" t="s">
        <v>117</v>
      </c>
      <c r="C36" s="12" t="s">
        <v>118</v>
      </c>
      <c r="D36" s="12" t="str">
        <f>IF(ISERROR(FIND(",",E36)),INDEX(Tactics!$A$2:$A$8,MATCH(TRIM(E36),Tactics!$B$2:$B$8,0)),_xlfn.TEXTJOIN(", ",TRUE,INDEX(Tactics!$A$2:$A$8,MATCH(TRIM(LEFT(E36,FIND(",",E36)-1)),Tactics!$B$2:$B$8,0)),INDEX(Tactics!$A$2:$A$8,MATCH(TRIM(MID(E36,FIND(",",E36)+1,LEN(E36))),Tactics!$B$2:$B$8,0))))</f>
        <v>TA0001, FA0001</v>
      </c>
      <c r="E36" s="12" t="s">
        <v>32</v>
      </c>
    </row>
    <row r="37" spans="1:5" ht="80.099999999999994">
      <c r="A37" s="12" t="s">
        <v>119</v>
      </c>
      <c r="B37" s="12" t="s">
        <v>120</v>
      </c>
      <c r="C37" s="12" t="s">
        <v>121</v>
      </c>
      <c r="D37" s="12" t="str">
        <f>IF(ISERROR(FIND(",",E37)),INDEX(Tactics!$A$2:$A$8,MATCH(TRIM(E37),Tactics!$B$2:$B$8,0)),_xlfn.TEXTJOIN(", ",TRUE,INDEX(Tactics!$A$2:$A$8,MATCH(TRIM(LEFT(E37,FIND(",",E37)-1)),Tactics!$B$2:$B$8,0)),INDEX(Tactics!$A$2:$A$8,MATCH(TRIM(MID(E37,FIND(",",E37)+1,LEN(E37))),Tactics!$B$2:$B$8,0))))</f>
        <v>TA0002</v>
      </c>
      <c r="E37" s="12" t="s">
        <v>28</v>
      </c>
    </row>
    <row r="38" spans="1:5" ht="80.099999999999994">
      <c r="A38" s="12" t="s">
        <v>122</v>
      </c>
      <c r="B38" s="12" t="s">
        <v>123</v>
      </c>
      <c r="C38" s="12" t="s">
        <v>124</v>
      </c>
      <c r="D38" s="12" t="str">
        <f>IF(ISERROR(FIND(",",E38)),INDEX(Tactics!$A$2:$A$8,MATCH(TRIM(E38),Tactics!$B$2:$B$8,0)),_xlfn.TEXTJOIN(", ",TRUE,INDEX(Tactics!$A$2:$A$8,MATCH(TRIM(LEFT(E38,FIND(",",E38)-1)),Tactics!$B$2:$B$8,0)),INDEX(Tactics!$A$2:$A$8,MATCH(TRIM(MID(E38,FIND(",",E38)+1,LEN(E38))),Tactics!$B$2:$B$8,0))))</f>
        <v>TA0002</v>
      </c>
      <c r="E38" s="12" t="s">
        <v>28</v>
      </c>
    </row>
    <row r="39" spans="1:5" ht="80.099999999999994">
      <c r="A39" s="12" t="s">
        <v>125</v>
      </c>
      <c r="B39" s="12" t="s">
        <v>126</v>
      </c>
      <c r="C39" s="12" t="s">
        <v>127</v>
      </c>
      <c r="D39" s="12" t="str">
        <f>IF(ISERROR(FIND(",",E39)),INDEX(Tactics!$A$2:$A$8,MATCH(TRIM(E39),Tactics!$B$2:$B$8,0)),_xlfn.TEXTJOIN(", ",TRUE,INDEX(Tactics!$A$2:$A$8,MATCH(TRIM(LEFT(E39,FIND(",",E39)-1)),Tactics!$B$2:$B$8,0)),INDEX(Tactics!$A$2:$A$8,MATCH(TRIM(MID(E39,FIND(",",E39)+1,LEN(E39))),Tactics!$B$2:$B$8,0))))</f>
        <v>TA0002</v>
      </c>
      <c r="E39" s="12" t="s">
        <v>28</v>
      </c>
    </row>
    <row r="40" spans="1:5" ht="80.099999999999994">
      <c r="A40" s="12" t="s">
        <v>128</v>
      </c>
      <c r="B40" s="12" t="s">
        <v>129</v>
      </c>
      <c r="C40" s="12" t="s">
        <v>130</v>
      </c>
      <c r="D40" s="12" t="str">
        <f>IF(ISERROR(FIND(",",E40)),INDEX(Tactics!$A$2:$A$8,MATCH(TRIM(E40),Tactics!$B$2:$B$8,0)),_xlfn.TEXTJOIN(", ",TRUE,INDEX(Tactics!$A$2:$A$8,MATCH(TRIM(LEFT(E40,FIND(",",E40)-1)),Tactics!$B$2:$B$8,0)),INDEX(Tactics!$A$2:$A$8,MATCH(TRIM(MID(E40,FIND(",",E40)+1,LEN(E40))),Tactics!$B$2:$B$8,0))))</f>
        <v>TA0002</v>
      </c>
      <c r="E40" s="12" t="s">
        <v>28</v>
      </c>
    </row>
    <row r="41" spans="1:5" ht="63.95">
      <c r="A41" s="12" t="s">
        <v>131</v>
      </c>
      <c r="B41" s="12" t="s">
        <v>132</v>
      </c>
      <c r="C41" s="12" t="s">
        <v>133</v>
      </c>
      <c r="D41" s="12" t="str">
        <f>IF(ISERROR(FIND(",",E41)),INDEX(Tactics!$A$2:$A$8,MATCH(TRIM(E41),Tactics!$B$2:$B$8,0)),_xlfn.TEXTJOIN(", ",TRUE,INDEX(Tactics!$A$2:$A$8,MATCH(TRIM(LEFT(E41,FIND(",",E41)-1)),Tactics!$B$2:$B$8,0)),INDEX(Tactics!$A$2:$A$8,MATCH(TRIM(MID(E41,FIND(",",E41)+1,LEN(E41))),Tactics!$B$2:$B$8,0))))</f>
        <v>TA0002</v>
      </c>
      <c r="E41" s="12" t="s">
        <v>28</v>
      </c>
    </row>
    <row r="42" spans="1:5" ht="80.099999999999994">
      <c r="A42" s="12" t="s">
        <v>134</v>
      </c>
      <c r="B42" s="12" t="s">
        <v>135</v>
      </c>
      <c r="C42" s="12" t="s">
        <v>136</v>
      </c>
      <c r="D42" s="12" t="str">
        <f>IF(ISERROR(FIND(",",E42)),INDEX(Tactics!$A$2:$A$8,MATCH(TRIM(E42),Tactics!$B$2:$B$8,0)),_xlfn.TEXTJOIN(", ",TRUE,INDEX(Tactics!$A$2:$A$8,MATCH(TRIM(LEFT(E42,FIND(",",E42)-1)),Tactics!$B$2:$B$8,0)),INDEX(Tactics!$A$2:$A$8,MATCH(TRIM(MID(E42,FIND(",",E42)+1,LEN(E42))),Tactics!$B$2:$B$8,0))))</f>
        <v>TA0002</v>
      </c>
      <c r="E42" s="12" t="s">
        <v>28</v>
      </c>
    </row>
    <row r="43" spans="1:5" ht="63.95">
      <c r="A43" s="12" t="s">
        <v>137</v>
      </c>
      <c r="B43" s="12" t="s">
        <v>138</v>
      </c>
      <c r="C43" s="12" t="s">
        <v>139</v>
      </c>
      <c r="D43" s="12" t="str">
        <f>IF(ISERROR(FIND(",",E43)),INDEX(Tactics!$A$2:$A$8,MATCH(TRIM(E43),Tactics!$B$2:$B$8,0)),_xlfn.TEXTJOIN(", ",TRUE,INDEX(Tactics!$A$2:$A$8,MATCH(TRIM(LEFT(E43,FIND(",",E43)-1)),Tactics!$B$2:$B$8,0)),INDEX(Tactics!$A$2:$A$8,MATCH(TRIM(MID(E43,FIND(",",E43)+1,LEN(E43))),Tactics!$B$2:$B$8,0))))</f>
        <v>TA0002</v>
      </c>
      <c r="E43" s="12" t="s">
        <v>28</v>
      </c>
    </row>
    <row r="44" spans="1:5" ht="80.099999999999994">
      <c r="A44" s="12" t="s">
        <v>140</v>
      </c>
      <c r="B44" s="12" t="s">
        <v>141</v>
      </c>
      <c r="C44" s="12" t="s">
        <v>142</v>
      </c>
      <c r="D44" s="12" t="str">
        <f>IF(ISERROR(FIND(",",E44)),INDEX(Tactics!$A$2:$A$8,MATCH(TRIM(E44),Tactics!$B$2:$B$8,0)),_xlfn.TEXTJOIN(", ",TRUE,INDEX(Tactics!$A$2:$A$8,MATCH(TRIM(LEFT(E44,FIND(",",E44)-1)),Tactics!$B$2:$B$8,0)),INDEX(Tactics!$A$2:$A$8,MATCH(TRIM(MID(E44,FIND(",",E44)+1,LEN(E44))),Tactics!$B$2:$B$8,0))))</f>
        <v>TA0002</v>
      </c>
      <c r="E44" s="12" t="s">
        <v>28</v>
      </c>
    </row>
    <row r="45" spans="1:5" ht="80.099999999999994">
      <c r="A45" s="12" t="s">
        <v>143</v>
      </c>
      <c r="B45" s="12" t="s">
        <v>144</v>
      </c>
      <c r="C45" s="12" t="s">
        <v>145</v>
      </c>
      <c r="D45" s="12" t="str">
        <f>IF(ISERROR(FIND(",",E45)),INDEX(Tactics!$A$2:$A$8,MATCH(TRIM(E45),Tactics!$B$2:$B$8,0)),_xlfn.TEXTJOIN(", ",TRUE,INDEX(Tactics!$A$2:$A$8,MATCH(TRIM(LEFT(E45,FIND(",",E45)-1)),Tactics!$B$2:$B$8,0)),INDEX(Tactics!$A$2:$A$8,MATCH(TRIM(MID(E45,FIND(",",E45)+1,LEN(E45))),Tactics!$B$2:$B$8,0))))</f>
        <v>TA0002</v>
      </c>
      <c r="E45" s="12" t="s">
        <v>28</v>
      </c>
    </row>
    <row r="46" spans="1:5" ht="80.099999999999994">
      <c r="A46" s="12" t="s">
        <v>146</v>
      </c>
      <c r="B46" s="12" t="s">
        <v>147</v>
      </c>
      <c r="C46" s="12" t="s">
        <v>148</v>
      </c>
      <c r="D46" s="12" t="str">
        <f>IF(ISERROR(FIND(",",E46)),INDEX(Tactics!$A$2:$A$8,MATCH(TRIM(E46),Tactics!$B$2:$B$8,0)),_xlfn.TEXTJOIN(", ",TRUE,INDEX(Tactics!$A$2:$A$8,MATCH(TRIM(LEFT(E46,FIND(",",E46)-1)),Tactics!$B$2:$B$8,0)),INDEX(Tactics!$A$2:$A$8,MATCH(TRIM(MID(E46,FIND(",",E46)+1,LEN(E46))),Tactics!$B$2:$B$8,0))))</f>
        <v>FA0002</v>
      </c>
      <c r="E46" s="12" t="s">
        <v>149</v>
      </c>
    </row>
    <row r="47" spans="1:5" ht="80.099999999999994">
      <c r="A47" s="12" t="s">
        <v>150</v>
      </c>
      <c r="B47" s="12" t="s">
        <v>151</v>
      </c>
      <c r="C47" s="12" t="s">
        <v>152</v>
      </c>
      <c r="D47" s="12" t="str">
        <f>IF(ISERROR(FIND(",",E47)),INDEX(Tactics!$A$2:$A$8,MATCH(TRIM(E47),Tactics!$B$2:$B$8,0)),_xlfn.TEXTJOIN(", ",TRUE,INDEX(Tactics!$A$2:$A$8,MATCH(TRIM(LEFT(E47,FIND(",",E47)-1)),Tactics!$B$2:$B$8,0)),INDEX(Tactics!$A$2:$A$8,MATCH(TRIM(MID(E47,FIND(",",E47)+1,LEN(E47))),Tactics!$B$2:$B$8,0))))</f>
        <v>FA0002</v>
      </c>
      <c r="E47" s="12" t="s">
        <v>149</v>
      </c>
    </row>
    <row r="48" spans="1:5" ht="303.95">
      <c r="A48" s="12" t="s">
        <v>153</v>
      </c>
      <c r="B48" s="12" t="s">
        <v>154</v>
      </c>
      <c r="C48" s="12" t="s">
        <v>155</v>
      </c>
      <c r="D48" s="12" t="str">
        <f>IF(ISERROR(FIND(",",E48)),INDEX(Tactics!$A$2:$A$8,MATCH(TRIM(E48),Tactics!$B$2:$B$8,0)),_xlfn.TEXTJOIN(", ",TRUE,INDEX(Tactics!$A$2:$A$8,MATCH(TRIM(LEFT(E48,FIND(",",E48)-1)),Tactics!$B$2:$B$8,0)),INDEX(Tactics!$A$2:$A$8,MATCH(TRIM(MID(E48,FIND(",",E48)+1,LEN(E48))),Tactics!$B$2:$B$8,0))))</f>
        <v>TA0001, FA0001</v>
      </c>
      <c r="E48" s="12" t="s">
        <v>32</v>
      </c>
    </row>
    <row r="49" spans="1:5" ht="255.95">
      <c r="A49" s="12" t="s">
        <v>156</v>
      </c>
      <c r="B49" s="12" t="s">
        <v>157</v>
      </c>
      <c r="C49" s="12" t="s">
        <v>158</v>
      </c>
      <c r="D49" s="12" t="str">
        <f>IF(ISERROR(FIND(",",E49)),INDEX(Tactics!$A$2:$A$8,MATCH(TRIM(E49),Tactics!$B$2:$B$8,0)),_xlfn.TEXTJOIN(", ",TRUE,INDEX(Tactics!$A$2:$A$8,MATCH(TRIM(LEFT(E49,FIND(",",E49)-1)),Tactics!$B$2:$B$8,0)),INDEX(Tactics!$A$2:$A$8,MATCH(TRIM(MID(E49,FIND(",",E49)+1,LEN(E49))),Tactics!$B$2:$B$8,0))))</f>
        <v>TA0001</v>
      </c>
      <c r="E49" s="12" t="s">
        <v>36</v>
      </c>
    </row>
    <row r="50" spans="1:5" ht="159.94999999999999">
      <c r="A50" s="12" t="s">
        <v>159</v>
      </c>
      <c r="B50" s="12" t="s">
        <v>160</v>
      </c>
      <c r="C50" s="12" t="s">
        <v>161</v>
      </c>
      <c r="D50" s="12" t="str">
        <f>IF(ISERROR(FIND(",",E50)),INDEX(Tactics!$A$2:$A$8,MATCH(TRIM(E50),Tactics!$B$2:$B$8,0)),_xlfn.TEXTJOIN(", ",TRUE,INDEX(Tactics!$A$2:$A$8,MATCH(TRIM(LEFT(E50,FIND(",",E50)-1)),Tactics!$B$2:$B$8,0)),INDEX(Tactics!$A$2:$A$8,MATCH(TRIM(MID(E50,FIND(",",E50)+1,LEN(E50))),Tactics!$B$2:$B$8,0))))</f>
        <v>TA0001</v>
      </c>
      <c r="E50" s="12" t="s">
        <v>36</v>
      </c>
    </row>
    <row r="51" spans="1:5" ht="192">
      <c r="A51" s="12" t="s">
        <v>162</v>
      </c>
      <c r="B51" s="12" t="s">
        <v>163</v>
      </c>
      <c r="C51" s="12" t="s">
        <v>164</v>
      </c>
      <c r="D51" s="12" t="str">
        <f>IF(ISERROR(FIND(",",E51)),INDEX(Tactics!$A$2:$A$8,MATCH(TRIM(E51),Tactics!$B$2:$B$8,0)),_xlfn.TEXTJOIN(", ",TRUE,INDEX(Tactics!$A$2:$A$8,MATCH(TRIM(LEFT(E51,FIND(",",E51)-1)),Tactics!$B$2:$B$8,0)),INDEX(Tactics!$A$2:$A$8,MATCH(TRIM(MID(E51,FIND(",",E51)+1,LEN(E51))),Tactics!$B$2:$B$8,0))))</f>
        <v>TA0001</v>
      </c>
      <c r="E51" s="12" t="s">
        <v>36</v>
      </c>
    </row>
    <row r="52" spans="1:5" ht="159.94999999999999">
      <c r="A52" s="12" t="s">
        <v>165</v>
      </c>
      <c r="B52" s="12" t="s">
        <v>166</v>
      </c>
      <c r="C52" s="12" t="s">
        <v>167</v>
      </c>
      <c r="D52" s="12" t="str">
        <f>IF(ISERROR(FIND(",",E52)),INDEX(Tactics!$A$2:$A$8,MATCH(TRIM(E52),Tactics!$B$2:$B$8,0)),_xlfn.TEXTJOIN(", ",TRUE,INDEX(Tactics!$A$2:$A$8,MATCH(TRIM(LEFT(E52,FIND(",",E52)-1)),Tactics!$B$2:$B$8,0)),INDEX(Tactics!$A$2:$A$8,MATCH(TRIM(MID(E52,FIND(",",E52)+1,LEN(E52))),Tactics!$B$2:$B$8,0))))</f>
        <v>TA0001</v>
      </c>
      <c r="E52" s="12" t="s">
        <v>36</v>
      </c>
    </row>
    <row r="53" spans="1:5" ht="207.95">
      <c r="A53" s="12" t="s">
        <v>168</v>
      </c>
      <c r="B53" s="12" t="s">
        <v>169</v>
      </c>
      <c r="C53" s="12" t="s">
        <v>170</v>
      </c>
      <c r="D53" s="12" t="str">
        <f>IF(ISERROR(FIND(",",E53)),INDEX(Tactics!$A$2:$A$8,MATCH(TRIM(E53),Tactics!$B$2:$B$8,0)),_xlfn.TEXTJOIN(", ",TRUE,INDEX(Tactics!$A$2:$A$8,MATCH(TRIM(LEFT(E53,FIND(",",E53)-1)),Tactics!$B$2:$B$8,0)),INDEX(Tactics!$A$2:$A$8,MATCH(TRIM(MID(E53,FIND(",",E53)+1,LEN(E53))),Tactics!$B$2:$B$8,0))))</f>
        <v>TA0001</v>
      </c>
      <c r="E53" s="12" t="s">
        <v>36</v>
      </c>
    </row>
    <row r="54" spans="1:5" ht="80.099999999999994">
      <c r="A54" s="12" t="s">
        <v>171</v>
      </c>
      <c r="B54" s="12" t="s">
        <v>172</v>
      </c>
      <c r="C54" s="12" t="s">
        <v>173</v>
      </c>
      <c r="D54" s="12" t="str">
        <f>IF(ISERROR(FIND(",",E54)),INDEX(Tactics!$A$2:$A$8,MATCH(TRIM(E54),Tactics!$B$2:$B$8,0)),_xlfn.TEXTJOIN(", ",TRUE,INDEX(Tactics!$A$2:$A$8,MATCH(TRIM(LEFT(E54,FIND(",",E54)-1)),Tactics!$B$2:$B$8,0)),INDEX(Tactics!$A$2:$A$8,MATCH(TRIM(MID(E54,FIND(",",E54)+1,LEN(E54))),Tactics!$B$2:$B$8,0))))</f>
        <v>FA0002</v>
      </c>
      <c r="E54" s="12" t="s">
        <v>149</v>
      </c>
    </row>
    <row r="55" spans="1:5" ht="80.099999999999994">
      <c r="A55" s="12" t="s">
        <v>174</v>
      </c>
      <c r="B55" s="12" t="s">
        <v>175</v>
      </c>
      <c r="C55" s="12" t="s">
        <v>176</v>
      </c>
      <c r="D55" s="12" t="str">
        <f>IF(ISERROR(FIND(",",E55)),INDEX(Tactics!$A$2:$A$8,MATCH(TRIM(E55),Tactics!$B$2:$B$8,0)),_xlfn.TEXTJOIN(", ",TRUE,INDEX(Tactics!$A$2:$A$8,MATCH(TRIM(LEFT(E55,FIND(",",E55)-1)),Tactics!$B$2:$B$8,0)),INDEX(Tactics!$A$2:$A$8,MATCH(TRIM(MID(E55,FIND(",",E55)+1,LEN(E55))),Tactics!$B$2:$B$8,0))))</f>
        <v>FA0001</v>
      </c>
      <c r="E55" s="12" t="s">
        <v>14</v>
      </c>
    </row>
    <row r="56" spans="1:5" ht="80.099999999999994">
      <c r="A56" s="12" t="s">
        <v>177</v>
      </c>
      <c r="B56" s="12" t="s">
        <v>178</v>
      </c>
      <c r="C56" s="12" t="s">
        <v>179</v>
      </c>
      <c r="D56" s="12" t="str">
        <f>IF(ISERROR(FIND(",",E56)),INDEX(Tactics!$A$2:$A$8,MATCH(TRIM(E56),Tactics!$B$2:$B$8,0)),_xlfn.TEXTJOIN(", ",TRUE,INDEX(Tactics!$A$2:$A$8,MATCH(TRIM(LEFT(E56,FIND(",",E56)-1)),Tactics!$B$2:$B$8,0)),INDEX(Tactics!$A$2:$A$8,MATCH(TRIM(MID(E56,FIND(",",E56)+1,LEN(E56))),Tactics!$B$2:$B$8,0))))</f>
        <v>FA0001</v>
      </c>
      <c r="E56" s="12" t="s">
        <v>14</v>
      </c>
    </row>
    <row r="57" spans="1:5" ht="80.099999999999994">
      <c r="A57" s="12" t="s">
        <v>180</v>
      </c>
      <c r="B57" s="12" t="s">
        <v>181</v>
      </c>
      <c r="C57" s="12" t="s">
        <v>182</v>
      </c>
      <c r="D57" s="12" t="str">
        <f>IF(ISERROR(FIND(",",E57)),INDEX(Tactics!$A$2:$A$8,MATCH(TRIM(E57),Tactics!$B$2:$B$8,0)),_xlfn.TEXTJOIN(", ",TRUE,INDEX(Tactics!$A$2:$A$8,MATCH(TRIM(LEFT(E57,FIND(",",E57)-1)),Tactics!$B$2:$B$8,0)),INDEX(Tactics!$A$2:$A$8,MATCH(TRIM(MID(E57,FIND(",",E57)+1,LEN(E57))),Tactics!$B$2:$B$8,0))))</f>
        <v>FA0001</v>
      </c>
      <c r="E57" s="12" t="s">
        <v>14</v>
      </c>
    </row>
    <row r="58" spans="1:5" ht="63.95">
      <c r="A58" s="12" t="s">
        <v>183</v>
      </c>
      <c r="B58" s="12" t="s">
        <v>184</v>
      </c>
      <c r="C58" s="12" t="s">
        <v>185</v>
      </c>
      <c r="D58" s="12" t="str">
        <f>IF(ISERROR(FIND(",",E58)),INDEX(Tactics!$A$2:$A$8,MATCH(TRIM(E58),Tactics!$B$2:$B$8,0)),_xlfn.TEXTJOIN(", ",TRUE,INDEX(Tactics!$A$2:$A$8,MATCH(TRIM(LEFT(E58,FIND(",",E58)-1)),Tactics!$B$2:$B$8,0)),INDEX(Tactics!$A$2:$A$8,MATCH(TRIM(MID(E58,FIND(",",E58)+1,LEN(E58))),Tactics!$B$2:$B$8,0))))</f>
        <v>TA0002</v>
      </c>
      <c r="E58" s="12" t="s">
        <v>28</v>
      </c>
    </row>
    <row r="59" spans="1:5" ht="80.099999999999994">
      <c r="A59" s="12" t="s">
        <v>186</v>
      </c>
      <c r="B59" s="12" t="s">
        <v>187</v>
      </c>
      <c r="C59" s="12" t="s">
        <v>188</v>
      </c>
      <c r="D59" s="12" t="str">
        <f>IF(ISERROR(FIND(",",E59)),INDEX(Tactics!$A$2:$A$8,MATCH(TRIM(E59),Tactics!$B$2:$B$8,0)),_xlfn.TEXTJOIN(", ",TRUE,INDEX(Tactics!$A$2:$A$8,MATCH(TRIM(LEFT(E59,FIND(",",E59)-1)),Tactics!$B$2:$B$8,0)),INDEX(Tactics!$A$2:$A$8,MATCH(TRIM(MID(E59,FIND(",",E59)+1,LEN(E59))),Tactics!$B$2:$B$8,0))))</f>
        <v>TA0002</v>
      </c>
      <c r="E59" s="12" t="s">
        <v>28</v>
      </c>
    </row>
    <row r="60" spans="1:5" ht="224.1">
      <c r="A60" s="12" t="s">
        <v>189</v>
      </c>
      <c r="B60" s="12" t="s">
        <v>190</v>
      </c>
      <c r="C60" s="12" t="s">
        <v>191</v>
      </c>
      <c r="D60" s="12" t="str">
        <f>IF(ISERROR(FIND(",",E60)),INDEX(Tactics!$A$2:$A$8,MATCH(TRIM(E60),Tactics!$B$2:$B$8,0)),_xlfn.TEXTJOIN(", ",TRUE,INDEX(Tactics!$A$2:$A$8,MATCH(TRIM(LEFT(E60,FIND(",",E60)-1)),Tactics!$B$2:$B$8,0)),INDEX(Tactics!$A$2:$A$8,MATCH(TRIM(MID(E60,FIND(",",E60)+1,LEN(E60))),Tactics!$B$2:$B$8,0))))</f>
        <v>TA0002</v>
      </c>
      <c r="E60" s="12" t="s">
        <v>28</v>
      </c>
    </row>
    <row r="61" spans="1:5" ht="80.099999999999994">
      <c r="A61" s="12" t="s">
        <v>192</v>
      </c>
      <c r="B61" s="12" t="s">
        <v>193</v>
      </c>
      <c r="C61" s="12" t="s">
        <v>194</v>
      </c>
      <c r="D61" s="12" t="str">
        <f>IF(ISERROR(FIND(",",E61)),INDEX(Tactics!$A$2:$A$8,MATCH(TRIM(E61),Tactics!$B$2:$B$8,0)),_xlfn.TEXTJOIN(", ",TRUE,INDEX(Tactics!$A$2:$A$8,MATCH(TRIM(LEFT(E61,FIND(",",E61)-1)),Tactics!$B$2:$B$8,0)),INDEX(Tactics!$A$2:$A$8,MATCH(TRIM(MID(E61,FIND(",",E61)+1,LEN(E61))),Tactics!$B$2:$B$8,0))))</f>
        <v>TA0042</v>
      </c>
      <c r="E61" s="12" t="s">
        <v>91</v>
      </c>
    </row>
    <row r="62" spans="1:5" ht="80.099999999999994">
      <c r="A62" s="12" t="s">
        <v>195</v>
      </c>
      <c r="B62" s="12" t="s">
        <v>196</v>
      </c>
      <c r="C62" s="12" t="s">
        <v>197</v>
      </c>
      <c r="D62" s="12" t="str">
        <f>IF(ISERROR(FIND(",",E62)),INDEX(Tactics!$A$2:$A$8,MATCH(TRIM(E62),Tactics!$B$2:$B$8,0)),_xlfn.TEXTJOIN(", ",TRUE,INDEX(Tactics!$A$2:$A$8,MATCH(TRIM(LEFT(E62,FIND(",",E62)-1)),Tactics!$B$2:$B$8,0)),INDEX(Tactics!$A$2:$A$8,MATCH(TRIM(MID(E62,FIND(",",E62)+1,LEN(E62))),Tactics!$B$2:$B$8,0))))</f>
        <v>TA0042</v>
      </c>
      <c r="E62" s="12" t="s">
        <v>91</v>
      </c>
    </row>
    <row r="63" spans="1:5" ht="96">
      <c r="A63" s="12" t="s">
        <v>198</v>
      </c>
      <c r="B63" s="12" t="s">
        <v>199</v>
      </c>
      <c r="C63" s="12" t="s">
        <v>200</v>
      </c>
      <c r="D63" s="12" t="str">
        <f>IF(ISERROR(FIND(",",E63)),INDEX(Tactics!$A$2:$A$8,MATCH(TRIM(E63),Tactics!$B$2:$B$8,0)),_xlfn.TEXTJOIN(", ",TRUE,INDEX(Tactics!$A$2:$A$8,MATCH(TRIM(LEFT(E63,FIND(",",E63)-1)),Tactics!$B$2:$B$8,0)),INDEX(Tactics!$A$2:$A$8,MATCH(TRIM(MID(E63,FIND(",",E63)+1,LEN(E63))),Tactics!$B$2:$B$8,0))))</f>
        <v>TA0042</v>
      </c>
      <c r="E63" s="12" t="s">
        <v>91</v>
      </c>
    </row>
    <row r="64" spans="1:5" ht="272.10000000000002">
      <c r="A64" s="12" t="s">
        <v>201</v>
      </c>
      <c r="B64" s="12" t="s">
        <v>202</v>
      </c>
      <c r="C64" s="12" t="s">
        <v>203</v>
      </c>
      <c r="D64" s="12" t="str">
        <f>IF(ISERROR(FIND(",",E64)),INDEX(Tactics!$A$2:$A$8,MATCH(TRIM(E64),Tactics!$B$2:$B$8,0)),_xlfn.TEXTJOIN(", ",TRUE,INDEX(Tactics!$A$2:$A$8,MATCH(TRIM(LEFT(E64,FIND(",",E64)-1)),Tactics!$B$2:$B$8,0)),INDEX(Tactics!$A$2:$A$8,MATCH(TRIM(MID(E64,FIND(",",E64)+1,LEN(E64))),Tactics!$B$2:$B$8,0))))</f>
        <v>TA0042</v>
      </c>
      <c r="E64" s="12" t="s">
        <v>91</v>
      </c>
    </row>
    <row r="65" spans="1:5" ht="80.099999999999994">
      <c r="A65" s="12" t="s">
        <v>204</v>
      </c>
      <c r="B65" s="12" t="s">
        <v>205</v>
      </c>
      <c r="C65" s="12" t="s">
        <v>206</v>
      </c>
      <c r="D65" s="12" t="str">
        <f>IF(ISERROR(FIND(",",E65)),INDEX(Tactics!$A$2:$A$8,MATCH(TRIM(E65),Tactics!$B$2:$B$8,0)),_xlfn.TEXTJOIN(", ",TRUE,INDEX(Tactics!$A$2:$A$8,MATCH(TRIM(LEFT(E65,FIND(",",E65)-1)),Tactics!$B$2:$B$8,0)),INDEX(Tactics!$A$2:$A$8,MATCH(TRIM(MID(E65,FIND(",",E65)+1,LEN(E65))),Tactics!$B$2:$B$8,0))))</f>
        <v>TA0042</v>
      </c>
      <c r="E65" s="12" t="s">
        <v>91</v>
      </c>
    </row>
    <row r="66" spans="1:5" ht="192">
      <c r="A66" s="12" t="s">
        <v>207</v>
      </c>
      <c r="B66" s="12" t="s">
        <v>208</v>
      </c>
      <c r="C66" s="12" t="s">
        <v>209</v>
      </c>
      <c r="D66" s="12" t="str">
        <f>IF(ISERROR(FIND(",",E66)),INDEX(Tactics!$A$2:$A$8,MATCH(TRIM(E66),Tactics!$B$2:$B$8,0)),_xlfn.TEXTJOIN(", ",TRUE,INDEX(Tactics!$A$2:$A$8,MATCH(TRIM(LEFT(E66,FIND(",",E66)-1)),Tactics!$B$2:$B$8,0)),INDEX(Tactics!$A$2:$A$8,MATCH(TRIM(MID(E66,FIND(",",E66)+1,LEN(E66))),Tactics!$B$2:$B$8,0))))</f>
        <v>TA0001</v>
      </c>
      <c r="E66" s="12" t="s">
        <v>36</v>
      </c>
    </row>
    <row r="67" spans="1:5" ht="63.95">
      <c r="A67" s="12" t="s">
        <v>210</v>
      </c>
      <c r="B67" s="12" t="s">
        <v>211</v>
      </c>
      <c r="C67" s="12" t="s">
        <v>212</v>
      </c>
      <c r="D67" s="12" t="str">
        <f>IF(ISERROR(FIND(",",E67)),INDEX(Tactics!$A$2:$A$8,MATCH(TRIM(E67),Tactics!$B$2:$B$8,0)),_xlfn.TEXTJOIN(", ",TRUE,INDEX(Tactics!$A$2:$A$8,MATCH(TRIM(LEFT(E67,FIND(",",E67)-1)),Tactics!$B$2:$B$8,0)),INDEX(Tactics!$A$2:$A$8,MATCH(TRIM(MID(E67,FIND(",",E67)+1,LEN(E67))),Tactics!$B$2:$B$8,0))))</f>
        <v>FA0002</v>
      </c>
      <c r="E67" s="12" t="s">
        <v>149</v>
      </c>
    </row>
    <row r="68" spans="1:5" ht="63.95">
      <c r="A68" s="12" t="s">
        <v>213</v>
      </c>
      <c r="B68" s="12" t="s">
        <v>214</v>
      </c>
      <c r="C68" s="12" t="s">
        <v>215</v>
      </c>
      <c r="D68" s="12" t="str">
        <f>IF(ISERROR(FIND(",",E68)),INDEX(Tactics!$A$2:$A$8,MATCH(TRIM(E68),Tactics!$B$2:$B$8,0)),_xlfn.TEXTJOIN(", ",TRUE,INDEX(Tactics!$A$2:$A$8,MATCH(TRIM(LEFT(E68,FIND(",",E68)-1)),Tactics!$B$2:$B$8,0)),INDEX(Tactics!$A$2:$A$8,MATCH(TRIM(MID(E68,FIND(",",E68)+1,LEN(E68))),Tactics!$B$2:$B$8,0))))</f>
        <v>TA0042</v>
      </c>
      <c r="E68" s="12" t="s">
        <v>91</v>
      </c>
    </row>
    <row r="69" spans="1:5" ht="80.099999999999994">
      <c r="A69" s="12" t="s">
        <v>216</v>
      </c>
      <c r="B69" s="12" t="s">
        <v>217</v>
      </c>
      <c r="C69" s="12" t="s">
        <v>218</v>
      </c>
      <c r="D69" s="12" t="str">
        <f>IF(ISERROR(FIND(",",E69)),INDEX(Tactics!$A$2:$A$8,MATCH(TRIM(E69),Tactics!$B$2:$B$8,0)),_xlfn.TEXTJOIN(", ",TRUE,INDEX(Tactics!$A$2:$A$8,MATCH(TRIM(LEFT(E69,FIND(",",E69)-1)),Tactics!$B$2:$B$8,0)),INDEX(Tactics!$A$2:$A$8,MATCH(TRIM(MID(E69,FIND(",",E69)+1,LEN(E69))),Tactics!$B$2:$B$8,0))))</f>
        <v>TA0042</v>
      </c>
      <c r="E69" s="12" t="s">
        <v>91</v>
      </c>
    </row>
    <row r="70" spans="1:5" ht="111.95">
      <c r="A70" s="12" t="s">
        <v>219</v>
      </c>
      <c r="B70" s="12" t="s">
        <v>220</v>
      </c>
      <c r="C70" s="12" t="s">
        <v>221</v>
      </c>
      <c r="D70" s="12" t="str">
        <f>IF(ISERROR(FIND(",",E70)),INDEX(Tactics!$A$2:$A$8,MATCH(TRIM(E70),Tactics!$B$2:$B$8,0)),_xlfn.TEXTJOIN(", ",TRUE,INDEX(Tactics!$A$2:$A$8,MATCH(TRIM(LEFT(E70,FIND(",",E70)-1)),Tactics!$B$2:$B$8,0)),INDEX(Tactics!$A$2:$A$8,MATCH(TRIM(MID(E70,FIND(",",E70)+1,LEN(E70))),Tactics!$B$2:$B$8,0))))</f>
        <v>TA0042</v>
      </c>
      <c r="E70" s="12" t="s">
        <v>91</v>
      </c>
    </row>
    <row r="71" spans="1:5" ht="80.099999999999994">
      <c r="A71" s="12" t="s">
        <v>222</v>
      </c>
      <c r="B71" s="12" t="s">
        <v>223</v>
      </c>
      <c r="C71" s="12" t="s">
        <v>224</v>
      </c>
      <c r="D71" s="12" t="str">
        <f>IF(ISERROR(FIND(",",E71)),INDEX(Tactics!$A$2:$A$8,MATCH(TRIM(E71),Tactics!$B$2:$B$8,0)),_xlfn.TEXTJOIN(", ",TRUE,INDEX(Tactics!$A$2:$A$8,MATCH(TRIM(LEFT(E71,FIND(",",E71)-1)),Tactics!$B$2:$B$8,0)),INDEX(Tactics!$A$2:$A$8,MATCH(TRIM(MID(E71,FIND(",",E71)+1,LEN(E71))),Tactics!$B$2:$B$8,0))))</f>
        <v>TA0042</v>
      </c>
      <c r="E71" s="12" t="s">
        <v>91</v>
      </c>
    </row>
    <row r="72" spans="1:5" ht="96">
      <c r="A72" s="12" t="s">
        <v>225</v>
      </c>
      <c r="B72" s="12" t="s">
        <v>226</v>
      </c>
      <c r="C72" s="12" t="s">
        <v>227</v>
      </c>
      <c r="D72" s="12" t="str">
        <f>IF(ISERROR(FIND(",",E72)),INDEX(Tactics!$A$2:$A$8,MATCH(TRIM(E72),Tactics!$B$2:$B$8,0)),_xlfn.TEXTJOIN(", ",TRUE,INDEX(Tactics!$A$2:$A$8,MATCH(TRIM(LEFT(E72,FIND(",",E72)-1)),Tactics!$B$2:$B$8,0)),INDEX(Tactics!$A$2:$A$8,MATCH(TRIM(MID(E72,FIND(",",E72)+1,LEN(E72))),Tactics!$B$2:$B$8,0))))</f>
        <v>TA0043</v>
      </c>
      <c r="E72" s="6" t="s">
        <v>228</v>
      </c>
    </row>
    <row r="73" spans="1:5" ht="63.95">
      <c r="A73" s="12" t="s">
        <v>229</v>
      </c>
      <c r="B73" s="12" t="s">
        <v>230</v>
      </c>
      <c r="C73" s="12" t="s">
        <v>231</v>
      </c>
      <c r="D73" s="12" t="str">
        <f>IF(ISERROR(FIND(",",E73)),INDEX(Tactics!$A$2:$A$8,MATCH(TRIM(E73),Tactics!$B$2:$B$8,0)),_xlfn.TEXTJOIN(", ",TRUE,INDEX(Tactics!$A$2:$A$8,MATCH(TRIM(LEFT(E73,FIND(",",E73)-1)),Tactics!$B$2:$B$8,0)),INDEX(Tactics!$A$2:$A$8,MATCH(TRIM(MID(E73,FIND(",",E73)+1,LEN(E73))),Tactics!$B$2:$B$8,0))))</f>
        <v>TA0043</v>
      </c>
      <c r="E73" s="6" t="s">
        <v>228</v>
      </c>
    </row>
    <row r="74" spans="1:5" ht="80.099999999999994">
      <c r="A74" s="12" t="s">
        <v>232</v>
      </c>
      <c r="B74" s="12" t="s">
        <v>233</v>
      </c>
      <c r="C74" s="12" t="s">
        <v>234</v>
      </c>
      <c r="D74" s="12" t="str">
        <f>IF(ISERROR(FIND(",",E74)),INDEX(Tactics!$A$2:$A$8,MATCH(TRIM(E74),Tactics!$B$2:$B$8,0)),_xlfn.TEXTJOIN(", ",TRUE,INDEX(Tactics!$A$2:$A$8,MATCH(TRIM(LEFT(E74,FIND(",",E74)-1)),Tactics!$B$2:$B$8,0)),INDEX(Tactics!$A$2:$A$8,MATCH(TRIM(MID(E74,FIND(",",E74)+1,LEN(E74))),Tactics!$B$2:$B$8,0))))</f>
        <v>TA0043</v>
      </c>
      <c r="E74" s="6" t="s">
        <v>228</v>
      </c>
    </row>
    <row r="75" spans="1:5" ht="80.099999999999994">
      <c r="A75" s="12" t="s">
        <v>235</v>
      </c>
      <c r="B75" s="12" t="s">
        <v>236</v>
      </c>
      <c r="C75" s="12" t="s">
        <v>237</v>
      </c>
      <c r="D75" s="12" t="str">
        <f>IF(ISERROR(FIND(",",E75)),INDEX(Tactics!$A$2:$A$8,MATCH(TRIM(E75),Tactics!$B$2:$B$8,0)),_xlfn.TEXTJOIN(", ",TRUE,INDEX(Tactics!$A$2:$A$8,MATCH(TRIM(LEFT(E75,FIND(",",E75)-1)),Tactics!$B$2:$B$8,0)),INDEX(Tactics!$A$2:$A$8,MATCH(TRIM(MID(E75,FIND(",",E75)+1,LEN(E75))),Tactics!$B$2:$B$8,0))))</f>
        <v>TA0005</v>
      </c>
      <c r="E75" s="12" t="s">
        <v>10</v>
      </c>
    </row>
    <row r="76" spans="1:5" ht="96">
      <c r="A76" s="12" t="s">
        <v>238</v>
      </c>
      <c r="B76" s="12" t="s">
        <v>239</v>
      </c>
      <c r="C76" s="12" t="s">
        <v>240</v>
      </c>
      <c r="D76" s="12" t="str">
        <f>IF(ISERROR(FIND(",",E76)),INDEX(Tactics!$A$2:$A$8,MATCH(TRIM(E76),Tactics!$B$2:$B$8,0)),_xlfn.TEXTJOIN(", ",TRUE,INDEX(Tactics!$A$2:$A$8,MATCH(TRIM(LEFT(E76,FIND(",",E76)-1)),Tactics!$B$2:$B$8,0)),INDEX(Tactics!$A$2:$A$8,MATCH(TRIM(MID(E76,FIND(",",E76)+1,LEN(E76))),Tactics!$B$2:$B$8,0))))</f>
        <v>TA0005</v>
      </c>
      <c r="E76" s="12" t="s">
        <v>10</v>
      </c>
    </row>
    <row r="77" spans="1:5" ht="288">
      <c r="A77" s="12" t="s">
        <v>241</v>
      </c>
      <c r="B77" s="12" t="s">
        <v>242</v>
      </c>
      <c r="C77" s="12" t="s">
        <v>243</v>
      </c>
      <c r="D77" s="12" t="str">
        <f>IF(ISERROR(FIND(",",E77)),INDEX(Tactics!$A$2:$A$8,MATCH(TRIM(E77),Tactics!$B$2:$B$8,0)),_xlfn.TEXTJOIN(", ",TRUE,INDEX(Tactics!$A$2:$A$8,MATCH(TRIM(LEFT(E77,FIND(",",E77)-1)),Tactics!$B$2:$B$8,0)),INDEX(Tactics!$A$2:$A$8,MATCH(TRIM(MID(E77,FIND(",",E77)+1,LEN(E77))),Tactics!$B$2:$B$8,0))))</f>
        <v>TA0001</v>
      </c>
      <c r="E77" s="12" t="s">
        <v>36</v>
      </c>
    </row>
    <row r="78" spans="1:5" ht="176.1">
      <c r="A78" s="12" t="s">
        <v>244</v>
      </c>
      <c r="B78" s="12" t="s">
        <v>245</v>
      </c>
      <c r="C78" s="12" t="s">
        <v>246</v>
      </c>
      <c r="D78" s="12" t="str">
        <f>IF(ISERROR(FIND(",",E78)),INDEX(Tactics!$A$2:$A$8,MATCH(TRIM(E78),Tactics!$B$2:$B$8,0)),_xlfn.TEXTJOIN(", ",TRUE,INDEX(Tactics!$A$2:$A$8,MATCH(TRIM(LEFT(E78,FIND(",",E78)-1)),Tactics!$B$2:$B$8,0)),INDEX(Tactics!$A$2:$A$8,MATCH(TRIM(MID(E78,FIND(",",E78)+1,LEN(E78))),Tactics!$B$2:$B$8,0))))</f>
        <v>TA0005</v>
      </c>
      <c r="E78" s="12" t="s">
        <v>10</v>
      </c>
    </row>
    <row r="79" spans="1:5" ht="96">
      <c r="A79" s="12" t="s">
        <v>247</v>
      </c>
      <c r="B79" s="12" t="s">
        <v>248</v>
      </c>
      <c r="C79" s="12" t="s">
        <v>249</v>
      </c>
      <c r="D79" s="12" t="str">
        <f>IF(ISERROR(FIND(",",E79)),INDEX(Tactics!$A$2:$A$8,MATCH(TRIM(E79),Tactics!$B$2:$B$8,0)),_xlfn.TEXTJOIN(", ",TRUE,INDEX(Tactics!$A$2:$A$8,MATCH(TRIM(LEFT(E79,FIND(",",E79)-1)),Tactics!$B$2:$B$8,0)),INDEX(Tactics!$A$2:$A$8,MATCH(TRIM(MID(E79,FIND(",",E79)+1,LEN(E79))),Tactics!$B$2:$B$8,0))))</f>
        <v>TA0001</v>
      </c>
      <c r="E79" s="12" t="s">
        <v>36</v>
      </c>
    </row>
    <row r="80" spans="1:5" ht="288">
      <c r="A80" s="12" t="s">
        <v>250</v>
      </c>
      <c r="B80" s="12" t="s">
        <v>251</v>
      </c>
      <c r="C80" s="12" t="s">
        <v>252</v>
      </c>
      <c r="D80" s="12" t="str">
        <f>IF(ISERROR(FIND(",",E80)),INDEX(Tactics!$A$2:$A$8,MATCH(TRIM(E80),Tactics!$B$2:$B$8,0)),_xlfn.TEXTJOIN(", ",TRUE,INDEX(Tactics!$A$2:$A$8,MATCH(TRIM(LEFT(E80,FIND(",",E80)-1)),Tactics!$B$2:$B$8,0)),INDEX(Tactics!$A$2:$A$8,MATCH(TRIM(MID(E80,FIND(",",E80)+1,LEN(E80))),Tactics!$B$2:$B$8,0))))</f>
        <v>TA0042</v>
      </c>
      <c r="E80" s="12" t="s">
        <v>91</v>
      </c>
    </row>
    <row r="81" spans="1:5" ht="80.099999999999994">
      <c r="A81" s="12" t="s">
        <v>253</v>
      </c>
      <c r="B81" s="12" t="s">
        <v>254</v>
      </c>
      <c r="C81" s="12" t="s">
        <v>255</v>
      </c>
      <c r="D81" s="12" t="str">
        <f>IF(ISERROR(FIND(",",E81)),INDEX(Tactics!$A$2:$A$8,MATCH(TRIM(E81),Tactics!$B$2:$B$8,0)),_xlfn.TEXTJOIN(", ",TRUE,INDEX(Tactics!$A$2:$A$8,MATCH(TRIM(LEFT(E81,FIND(",",E81)-1)),Tactics!$B$2:$B$8,0)),INDEX(Tactics!$A$2:$A$8,MATCH(TRIM(MID(E81,FIND(",",E81)+1,LEN(E81))),Tactics!$B$2:$B$8,0))))</f>
        <v>TA0042</v>
      </c>
      <c r="E81" s="12" t="s">
        <v>91</v>
      </c>
    </row>
    <row r="82" spans="1:5" ht="350.1">
      <c r="A82" s="12" t="s">
        <v>256</v>
      </c>
      <c r="B82" s="12" t="s">
        <v>257</v>
      </c>
      <c r="C82" s="12" t="s">
        <v>258</v>
      </c>
      <c r="D82" s="12" t="str">
        <f>IF(ISERROR(FIND(",",E82)),INDEX(Tactics!$A$2:$A$8,MATCH(TRIM(E82),Tactics!$B$2:$B$8,0)),_xlfn.TEXTJOIN(", ",TRUE,INDEX(Tactics!$A$2:$A$8,MATCH(TRIM(LEFT(E82,FIND(",",E82)-1)),Tactics!$B$2:$B$8,0)),INDEX(Tactics!$A$2:$A$8,MATCH(TRIM(MID(E82,FIND(",",E82)+1,LEN(E82))),Tactics!$B$2:$B$8,0))))</f>
        <v>TA0002</v>
      </c>
      <c r="E82" s="12" t="s">
        <v>28</v>
      </c>
    </row>
    <row r="83" spans="1:5" ht="80.099999999999994">
      <c r="A83" s="12" t="s">
        <v>259</v>
      </c>
      <c r="B83" s="12" t="s">
        <v>260</v>
      </c>
      <c r="C83" s="12" t="s">
        <v>261</v>
      </c>
      <c r="D83" s="12" t="str">
        <f>IF(ISERROR(FIND(",",E83)),INDEX(Tactics!$A$2:$A$8,MATCH(TRIM(E83),Tactics!$B$2:$B$8,0)),_xlfn.TEXTJOIN(", ",TRUE,INDEX(Tactics!$A$2:$A$8,MATCH(TRIM(LEFT(E83,FIND(",",E83)-1)),Tactics!$B$2:$B$8,0)),INDEX(Tactics!$A$2:$A$8,MATCH(TRIM(MID(E83,FIND(",",E83)+1,LEN(E83))),Tactics!$B$2:$B$8,0))))</f>
        <v>TA0043</v>
      </c>
      <c r="E83" s="12" t="s">
        <v>228</v>
      </c>
    </row>
    <row r="84" spans="1:5" ht="80.099999999999994">
      <c r="A84" s="12" t="s">
        <v>262</v>
      </c>
      <c r="B84" s="12" t="s">
        <v>263</v>
      </c>
      <c r="C84" s="12" t="s">
        <v>264</v>
      </c>
      <c r="D84" s="12" t="str">
        <f>IF(ISERROR(FIND(",",E84)),INDEX(Tactics!$A$2:$A$8,MATCH(TRIM(E84),Tactics!$B$2:$B$8,0)),_xlfn.TEXTJOIN(", ",TRUE,INDEX(Tactics!$A$2:$A$8,MATCH(TRIM(LEFT(E84,FIND(",",E84)-1)),Tactics!$B$2:$B$8,0)),INDEX(Tactics!$A$2:$A$8,MATCH(TRIM(MID(E84,FIND(",",E84)+1,LEN(E84))),Tactics!$B$2:$B$8,0))))</f>
        <v>TA0005</v>
      </c>
      <c r="E84" s="12" t="s">
        <v>10</v>
      </c>
    </row>
    <row r="85" spans="1:5" ht="80.099999999999994">
      <c r="A85" s="12" t="s">
        <v>265</v>
      </c>
      <c r="B85" s="12" t="s">
        <v>266</v>
      </c>
      <c r="C85" s="12" t="s">
        <v>267</v>
      </c>
      <c r="D85" s="12" t="str">
        <f>IF(ISERROR(FIND(",",E85)),INDEX(Tactics!$A$2:$A$8,MATCH(TRIM(E85),Tactics!$B$2:$B$8,0)),_xlfn.TEXTJOIN(", ",TRUE,INDEX(Tactics!$A$2:$A$8,MATCH(TRIM(LEFT(E85,FIND(",",E85)-1)),Tactics!$B$2:$B$8,0)),INDEX(Tactics!$A$2:$A$8,MATCH(TRIM(MID(E85,FIND(",",E85)+1,LEN(E85))),Tactics!$B$2:$B$8,0))))</f>
        <v>TA0042</v>
      </c>
      <c r="E85" s="12" t="s">
        <v>91</v>
      </c>
    </row>
    <row r="86" spans="1:5" ht="80.099999999999994">
      <c r="A86" s="12" t="s">
        <v>268</v>
      </c>
      <c r="B86" s="12" t="s">
        <v>269</v>
      </c>
      <c r="C86" s="12" t="s">
        <v>270</v>
      </c>
      <c r="D86" s="12" t="str">
        <f>IF(ISERROR(FIND(",",E86)),INDEX(Tactics!$A$2:$A$8,MATCH(TRIM(E86),Tactics!$B$2:$B$8,0)),_xlfn.TEXTJOIN(", ",TRUE,INDEX(Tactics!$A$2:$A$8,MATCH(TRIM(LEFT(E86,FIND(",",E86)-1)),Tactics!$B$2:$B$8,0)),INDEX(Tactics!$A$2:$A$8,MATCH(TRIM(MID(E86,FIND(",",E86)+1,LEN(E86))),Tactics!$B$2:$B$8,0))))</f>
        <v>TA0001, TA0005</v>
      </c>
      <c r="E86" s="12" t="s">
        <v>271</v>
      </c>
    </row>
    <row r="87" spans="1:5" ht="80.099999999999994">
      <c r="A87" s="12" t="s">
        <v>272</v>
      </c>
      <c r="B87" s="12" t="s">
        <v>273</v>
      </c>
      <c r="C87" s="12" t="s">
        <v>274</v>
      </c>
      <c r="D87" s="12" t="str">
        <f>IF(ISERROR(FIND(",",E87)),INDEX(Tactics!$A$2:$A$8,MATCH(TRIM(E87),Tactics!$B$2:$B$8,0)),_xlfn.TEXTJOIN(", ",TRUE,INDEX(Tactics!$A$2:$A$8,MATCH(TRIM(LEFT(E87,FIND(",",E87)-1)),Tactics!$B$2:$B$8,0)),INDEX(Tactics!$A$2:$A$8,MATCH(TRIM(MID(E87,FIND(",",E87)+1,LEN(E87))),Tactics!$B$2:$B$8,0))))</f>
        <v>TA0001, TA0005</v>
      </c>
      <c r="E87" s="12" t="s">
        <v>271</v>
      </c>
    </row>
    <row r="88" spans="1:5" ht="176.1">
      <c r="A88" s="12" t="s">
        <v>275</v>
      </c>
      <c r="B88" s="12" t="s">
        <v>276</v>
      </c>
      <c r="C88" s="12" t="s">
        <v>277</v>
      </c>
      <c r="D88" s="12" t="str">
        <f>IF(ISERROR(FIND(",",E88)),INDEX(Tactics!$A$2:$A$8,MATCH(TRIM(E88),Tactics!$B$2:$B$8,0)),_xlfn.TEXTJOIN(", ",TRUE,INDEX(Tactics!$A$2:$A$8,MATCH(TRIM(LEFT(E88,FIND(",",E88)-1)),Tactics!$B$2:$B$8,0)),INDEX(Tactics!$A$2:$A$8,MATCH(TRIM(MID(E88,FIND(",",E88)+1,LEN(E88))),Tactics!$B$2:$B$8,0))))</f>
        <v>TA0005</v>
      </c>
      <c r="E88" s="12" t="s">
        <v>10</v>
      </c>
    </row>
    <row r="89" spans="1:5" ht="80.099999999999994">
      <c r="A89" s="12" t="s">
        <v>278</v>
      </c>
      <c r="B89" s="12" t="s">
        <v>279</v>
      </c>
      <c r="C89" s="12" t="s">
        <v>280</v>
      </c>
      <c r="D89" s="12" t="str">
        <f>IF(ISERROR(FIND(",",E89)),INDEX(Tactics!$A$2:$A$8,MATCH(TRIM(E89),Tactics!$B$2:$B$8,0)),_xlfn.TEXTJOIN(", ",TRUE,INDEX(Tactics!$A$2:$A$8,MATCH(TRIM(LEFT(E89,FIND(",",E89)-1)),Tactics!$B$2:$B$8,0)),INDEX(Tactics!$A$2:$A$8,MATCH(TRIM(MID(E89,FIND(",",E89)+1,LEN(E89))),Tactics!$B$2:$B$8,0))))</f>
        <v>TA0001</v>
      </c>
      <c r="E89" s="12" t="s">
        <v>36</v>
      </c>
    </row>
    <row r="90" spans="1:5" ht="80.099999999999994">
      <c r="A90" s="12" t="s">
        <v>281</v>
      </c>
      <c r="B90" s="12" t="s">
        <v>282</v>
      </c>
      <c r="C90" s="12" t="s">
        <v>283</v>
      </c>
      <c r="D90" s="12" t="str">
        <f>IF(ISERROR(FIND(",",E90)),INDEX(Tactics!$A$2:$A$8,MATCH(TRIM(E90),Tactics!$B$2:$B$8,0)),_xlfn.TEXTJOIN(", ",TRUE,INDEX(Tactics!$A$2:$A$8,MATCH(TRIM(LEFT(E90,FIND(",",E90)-1)),Tactics!$B$2:$B$8,0)),INDEX(Tactics!$A$2:$A$8,MATCH(TRIM(MID(E90,FIND(",",E90)+1,LEN(E90))),Tactics!$B$2:$B$8,0))))</f>
        <v>TA0043</v>
      </c>
      <c r="E90" s="12" t="s">
        <v>228</v>
      </c>
    </row>
    <row r="91" spans="1:5" ht="63.95">
      <c r="A91" s="12" t="s">
        <v>284</v>
      </c>
      <c r="B91" s="12" t="s">
        <v>285</v>
      </c>
      <c r="C91" s="12" t="s">
        <v>286</v>
      </c>
      <c r="D91" s="12" t="str">
        <f>IF(ISERROR(FIND(",",E91)),INDEX(Tactics!$A$2:$A$8,MATCH(TRIM(E91),Tactics!$B$2:$B$8,0)),_xlfn.TEXTJOIN(", ",TRUE,INDEX(Tactics!$A$2:$A$8,MATCH(TRIM(LEFT(E91,FIND(",",E91)-1)),Tactics!$B$2:$B$8,0)),INDEX(Tactics!$A$2:$A$8,MATCH(TRIM(MID(E91,FIND(",",E91)+1,LEN(E91))),Tactics!$B$2:$B$8,0))))</f>
        <v>FA0001</v>
      </c>
      <c r="E91" s="12" t="s">
        <v>14</v>
      </c>
    </row>
    <row r="92" spans="1:5" ht="80.099999999999994">
      <c r="A92" s="12" t="s">
        <v>287</v>
      </c>
      <c r="B92" s="12" t="s">
        <v>288</v>
      </c>
      <c r="C92" s="12" t="s">
        <v>289</v>
      </c>
      <c r="D92" s="12" t="str">
        <f>IF(ISERROR(FIND(",",E92)),INDEX(Tactics!$A$2:$A$8,MATCH(TRIM(E92),Tactics!$B$2:$B$8,0)),_xlfn.TEXTJOIN(", ",TRUE,INDEX(Tactics!$A$2:$A$8,MATCH(TRIM(LEFT(E92,FIND(",",E92)-1)),Tactics!$B$2:$B$8,0)),INDEX(Tactics!$A$2:$A$8,MATCH(TRIM(MID(E92,FIND(",",E92)+1,LEN(E92))),Tactics!$B$2:$B$8,0))))</f>
        <v>TA0001</v>
      </c>
      <c r="E92" s="12" t="s">
        <v>36</v>
      </c>
    </row>
    <row r="93" spans="1:5" ht="80.099999999999994">
      <c r="A93" s="12" t="s">
        <v>290</v>
      </c>
      <c r="B93" s="12" t="s">
        <v>291</v>
      </c>
      <c r="C93" s="12" t="s">
        <v>292</v>
      </c>
      <c r="D93" s="12" t="str">
        <f>IF(ISERROR(FIND(",",E93)),INDEX(Tactics!$A$2:$A$8,MATCH(TRIM(E93),Tactics!$B$2:$B$8,0)),_xlfn.TEXTJOIN(", ",TRUE,INDEX(Tactics!$A$2:$A$8,MATCH(TRIM(LEFT(E93,FIND(",",E93)-1)),Tactics!$B$2:$B$8,0)),INDEX(Tactics!$A$2:$A$8,MATCH(TRIM(MID(E93,FIND(",",E93)+1,LEN(E93))),Tactics!$B$2:$B$8,0))))</f>
        <v>TA0005</v>
      </c>
      <c r="E93" s="12" t="s">
        <v>10</v>
      </c>
    </row>
    <row r="94" spans="1:5" ht="48">
      <c r="A94" s="12" t="s">
        <v>293</v>
      </c>
      <c r="B94" s="12" t="s">
        <v>294</v>
      </c>
      <c r="C94" s="12" t="s">
        <v>295</v>
      </c>
      <c r="D94" s="12" t="str">
        <f>IF(ISERROR(FIND(",",E94)),INDEX(Tactics!$A$2:$A$8,MATCH(TRIM(E94),Tactics!$B$2:$B$8,0)),_xlfn.TEXTJOIN(", ",TRUE,INDEX(Tactics!$A$2:$A$8,MATCH(TRIM(LEFT(E94,FIND(",",E94)-1)),Tactics!$B$2:$B$8,0)),INDEX(Tactics!$A$2:$A$8,MATCH(TRIM(MID(E94,FIND(",",E94)+1,LEN(E94))),Tactics!$B$2:$B$8,0))))</f>
        <v>FA0001</v>
      </c>
      <c r="E94" s="12" t="s">
        <v>14</v>
      </c>
    </row>
    <row r="95" spans="1:5" ht="96">
      <c r="A95" s="12" t="s">
        <v>296</v>
      </c>
      <c r="B95" s="12" t="s">
        <v>297</v>
      </c>
      <c r="C95" s="12" t="s">
        <v>298</v>
      </c>
      <c r="D95" s="12" t="str">
        <f>IF(ISERROR(FIND(",",E95)),INDEX(Tactics!$A$2:$A$8,MATCH(TRIM(E95),Tactics!$B$2:$B$8,0)),_xlfn.TEXTJOIN(", ",TRUE,INDEX(Tactics!$A$2:$A$8,MATCH(TRIM(LEFT(E95,FIND(",",E95)-1)),Tactics!$B$2:$B$8,0)),INDEX(Tactics!$A$2:$A$8,MATCH(TRIM(MID(E95,FIND(",",E95)+1,LEN(E95))),Tactics!$B$2:$B$8,0))))</f>
        <v>TA0002</v>
      </c>
      <c r="E95" s="12" t="s">
        <v>28</v>
      </c>
    </row>
    <row r="96" spans="1:5" ht="80.099999999999994">
      <c r="A96" s="12" t="s">
        <v>299</v>
      </c>
      <c r="B96" s="12" t="s">
        <v>300</v>
      </c>
      <c r="C96" s="12" t="s">
        <v>301</v>
      </c>
      <c r="D96" s="12" t="str">
        <f>IF(ISERROR(FIND(",",E96)),INDEX(Tactics!$A$2:$A$8,MATCH(TRIM(E96),Tactics!$B$2:$B$8,0)),_xlfn.TEXTJOIN(", ",TRUE,INDEX(Tactics!$A$2:$A$8,MATCH(TRIM(LEFT(E96,FIND(",",E96)-1)),Tactics!$B$2:$B$8,0)),INDEX(Tactics!$A$2:$A$8,MATCH(TRIM(MID(E96,FIND(",",E96)+1,LEN(E96))),Tactics!$B$2:$B$8,0))))</f>
        <v>TA0005</v>
      </c>
      <c r="E96" s="12" t="s">
        <v>10</v>
      </c>
    </row>
    <row r="97" spans="1:5" ht="80.099999999999994">
      <c r="A97" s="12" t="s">
        <v>302</v>
      </c>
      <c r="B97" s="12" t="s">
        <v>303</v>
      </c>
      <c r="C97" s="12" t="s">
        <v>304</v>
      </c>
      <c r="D97" s="12" t="str">
        <f>IF(ISERROR(FIND(",",E97)),INDEX(Tactics!$A$2:$A$8,MATCH(TRIM(E97),Tactics!$B$2:$B$8,0)),_xlfn.TEXTJOIN(", ",TRUE,INDEX(Tactics!$A$2:$A$8,MATCH(TRIM(LEFT(E97,FIND(",",E97)-1)),Tactics!$B$2:$B$8,0)),INDEX(Tactics!$A$2:$A$8,MATCH(TRIM(MID(E97,FIND(",",E97)+1,LEN(E97))),Tactics!$B$2:$B$8,0))))</f>
        <v>TA0042</v>
      </c>
      <c r="E97" s="12" t="s">
        <v>91</v>
      </c>
    </row>
    <row r="98" spans="1:5" ht="96">
      <c r="A98" s="12" t="s">
        <v>305</v>
      </c>
      <c r="B98" s="12" t="s">
        <v>306</v>
      </c>
      <c r="C98" s="12" t="s">
        <v>307</v>
      </c>
      <c r="D98" s="12" t="str">
        <f>IF(ISERROR(FIND(",",E98)),INDEX(Tactics!$A$2:$A$8,MATCH(TRIM(E98),Tactics!$B$2:$B$8,0)),_xlfn.TEXTJOIN(", ",TRUE,INDEX(Tactics!$A$2:$A$8,MATCH(TRIM(LEFT(E98,FIND(",",E98)-1)),Tactics!$B$2:$B$8,0)),INDEX(Tactics!$A$2:$A$8,MATCH(TRIM(MID(E98,FIND(",",E98)+1,LEN(E98))),Tactics!$B$2:$B$8,0))))</f>
        <v>TA0005</v>
      </c>
      <c r="E98" s="12" t="s">
        <v>10</v>
      </c>
    </row>
    <row r="99" spans="1:5" ht="80.099999999999994">
      <c r="A99" s="12" t="s">
        <v>308</v>
      </c>
      <c r="B99" s="12" t="s">
        <v>309</v>
      </c>
      <c r="C99" s="12" t="s">
        <v>310</v>
      </c>
      <c r="D99" s="12" t="str">
        <f>IF(ISERROR(FIND(",",E99)),INDEX(Tactics!$A$2:$A$8,MATCH(TRIM(E99),Tactics!$B$2:$B$8,0)),_xlfn.TEXTJOIN(", ",TRUE,INDEX(Tactics!$A$2:$A$8,MATCH(TRIM(LEFT(E99,FIND(",",E99)-1)),Tactics!$B$2:$B$8,0)),INDEX(Tactics!$A$2:$A$8,MATCH(TRIM(MID(E99,FIND(",",E99)+1,LEN(E99))),Tactics!$B$2:$B$8,0))))</f>
        <v>TA0043</v>
      </c>
      <c r="E99" s="6" t="s">
        <v>228</v>
      </c>
    </row>
    <row r="100" spans="1:5" ht="303.95">
      <c r="A100" s="12" t="s">
        <v>311</v>
      </c>
      <c r="B100" s="12" t="s">
        <v>312</v>
      </c>
      <c r="C100" s="12" t="s">
        <v>313</v>
      </c>
      <c r="D100" s="12" t="str">
        <f>IF(ISERROR(FIND(",",E100)),INDEX(Tactics!$A$2:$A$8,MATCH(TRIM(E100),Tactics!$B$2:$B$8,0)),_xlfn.TEXTJOIN(", ",TRUE,INDEX(Tactics!$A$2:$A$8,MATCH(TRIM(LEFT(E100,FIND(",",E100)-1)),Tactics!$B$2:$B$8,0)),INDEX(Tactics!$A$2:$A$8,MATCH(TRIM(MID(E100,FIND(",",E100)+1,LEN(E100))),Tactics!$B$2:$B$8,0))))</f>
        <v>TA0043</v>
      </c>
      <c r="E100" s="6" t="s">
        <v>228</v>
      </c>
    </row>
    <row r="101" spans="1:5" ht="96">
      <c r="A101" s="12" t="s">
        <v>314</v>
      </c>
      <c r="B101" s="12" t="s">
        <v>315</v>
      </c>
      <c r="C101" s="12" t="s">
        <v>316</v>
      </c>
      <c r="D101" s="12" t="str">
        <f>IF(ISERROR(FIND(",",E101)),INDEX(Tactics!$A$2:$A$8,MATCH(TRIM(E101),Tactics!$B$2:$B$8,0)),_xlfn.TEXTJOIN(", ",TRUE,INDEX(Tactics!$A$2:$A$8,MATCH(TRIM(LEFT(E101,FIND(",",E101)-1)),Tactics!$B$2:$B$8,0)),INDEX(Tactics!$A$2:$A$8,MATCH(TRIM(MID(E101,FIND(",",E101)+1,LEN(E101))),Tactics!$B$2:$B$8,0))))</f>
        <v>FA0001</v>
      </c>
      <c r="E101" s="12" t="s">
        <v>14</v>
      </c>
    </row>
    <row r="102" spans="1:5" ht="48">
      <c r="A102" s="12" t="s">
        <v>317</v>
      </c>
      <c r="B102" s="12" t="s">
        <v>318</v>
      </c>
      <c r="C102" s="12" t="s">
        <v>319</v>
      </c>
      <c r="D102" s="12" t="str">
        <f>IF(ISERROR(FIND(",",E102)),INDEX(Tactics!$A$2:$A$8,MATCH(TRIM(E102),Tactics!$B$2:$B$8,0)),_xlfn.TEXTJOIN(", ",TRUE,INDEX(Tactics!$A$2:$A$8,MATCH(TRIM(LEFT(E102,FIND(",",E102)-1)),Tactics!$B$2:$B$8,0)),INDEX(Tactics!$A$2:$A$8,MATCH(TRIM(MID(E102,FIND(",",E102)+1,LEN(E102))),Tactics!$B$2:$B$8,0))))</f>
        <v>TA0001</v>
      </c>
      <c r="E102" s="12" t="s">
        <v>36</v>
      </c>
    </row>
    <row r="103" spans="1:5" ht="80.099999999999994">
      <c r="A103" s="12" t="s">
        <v>320</v>
      </c>
      <c r="B103" s="12" t="s">
        <v>321</v>
      </c>
      <c r="C103" s="12" t="s">
        <v>322</v>
      </c>
      <c r="D103" s="12" t="str">
        <f>IF(ISERROR(FIND(",",E103)),INDEX(Tactics!$A$2:$A$8,MATCH(TRIM(E103),Tactics!$B$2:$B$8,0)),_xlfn.TEXTJOIN(", ",TRUE,INDEX(Tactics!$A$2:$A$8,MATCH(TRIM(LEFT(E103,FIND(",",E103)-1)),Tactics!$B$2:$B$8,0)),INDEX(Tactics!$A$2:$A$8,MATCH(TRIM(MID(E103,FIND(",",E103)+1,LEN(E103))),Tactics!$B$2:$B$8,0))))</f>
        <v>FA0001</v>
      </c>
      <c r="E103" s="12" t="s">
        <v>14</v>
      </c>
    </row>
    <row r="104" spans="1:5" ht="159.94999999999999">
      <c r="A104" s="12" t="s">
        <v>323</v>
      </c>
      <c r="B104" s="12" t="s">
        <v>324</v>
      </c>
      <c r="C104" s="12" t="s">
        <v>325</v>
      </c>
      <c r="D104" s="12" t="str">
        <f>IF(ISERROR(FIND(",",E104)),INDEX(Tactics!$A$2:$A$8,MATCH(TRIM(E104),Tactics!$B$2:$B$8,0)),_xlfn.TEXTJOIN(", ",TRUE,INDEX(Tactics!$A$2:$A$8,MATCH(TRIM(LEFT(E104,FIND(",",E104)-1)),Tactics!$B$2:$B$8,0)),INDEX(Tactics!$A$2:$A$8,MATCH(TRIM(MID(E104,FIND(",",E104)+1,LEN(E104))),Tactics!$B$2:$B$8,0))))</f>
        <v>FA0001</v>
      </c>
      <c r="E104" s="12" t="s">
        <v>14</v>
      </c>
    </row>
    <row r="105" spans="1:5" ht="96">
      <c r="A105" s="12" t="s">
        <v>326</v>
      </c>
      <c r="B105" s="12" t="s">
        <v>327</v>
      </c>
      <c r="C105" s="12" t="s">
        <v>328</v>
      </c>
      <c r="D105" s="12" t="str">
        <f>IF(ISERROR(FIND(",",E105)),INDEX(Tactics!$A$2:$A$8,MATCH(TRIM(E105),Tactics!$B$2:$B$8,0)),_xlfn.TEXTJOIN(", ",TRUE,INDEX(Tactics!$A$2:$A$8,MATCH(TRIM(LEFT(E105,FIND(",",E105)-1)),Tactics!$B$2:$B$8,0)),INDEX(Tactics!$A$2:$A$8,MATCH(TRIM(MID(E105,FIND(",",E105)+1,LEN(E105))),Tactics!$B$2:$B$8,0))))</f>
        <v>TA0002</v>
      </c>
      <c r="E105" s="12" t="s">
        <v>28</v>
      </c>
    </row>
    <row r="106" spans="1:5" ht="176.1">
      <c r="A106" s="12" t="s">
        <v>329</v>
      </c>
      <c r="B106" s="12" t="s">
        <v>330</v>
      </c>
      <c r="C106" s="12" t="s">
        <v>331</v>
      </c>
      <c r="D106" s="12" t="str">
        <f>IF(ISERROR(FIND(",",E106)),INDEX(Tactics!$A$2:$A$8,MATCH(TRIM(E106),Tactics!$B$2:$B$8,0)),_xlfn.TEXTJOIN(", ",TRUE,INDEX(Tactics!$A$2:$A$8,MATCH(TRIM(LEFT(E106,FIND(",",E106)-1)),Tactics!$B$2:$B$8,0)),INDEX(Tactics!$A$2:$A$8,MATCH(TRIM(MID(E106,FIND(",",E106)+1,LEN(E106))),Tactics!$B$2:$B$8,0))))</f>
        <v>TA0002</v>
      </c>
      <c r="E106" s="12" t="s">
        <v>28</v>
      </c>
    </row>
    <row r="107" spans="1:5" ht="63.95">
      <c r="A107" s="12" t="s">
        <v>332</v>
      </c>
      <c r="B107" s="12" t="s">
        <v>333</v>
      </c>
      <c r="C107" s="12" t="s">
        <v>334</v>
      </c>
      <c r="D107" s="12" t="str">
        <f>IF(ISERROR(FIND(",",E107)),INDEX(Tactics!$A$2:$A$8,MATCH(TRIM(E107),Tactics!$B$2:$B$8,0)),_xlfn.TEXTJOIN(", ",TRUE,INDEX(Tactics!$A$2:$A$8,MATCH(TRIM(LEFT(E107,FIND(",",E107)-1)),Tactics!$B$2:$B$8,0)),INDEX(Tactics!$A$2:$A$8,MATCH(TRIM(MID(E107,FIND(",",E107)+1,LEN(E107))),Tactics!$B$2:$B$8,0))))</f>
        <v>FA0001</v>
      </c>
      <c r="E107" s="12" t="s">
        <v>14</v>
      </c>
    </row>
    <row r="108" spans="1:5" ht="48">
      <c r="A108" s="12" t="s">
        <v>335</v>
      </c>
      <c r="B108" s="12" t="s">
        <v>336</v>
      </c>
      <c r="C108" s="12" t="s">
        <v>337</v>
      </c>
      <c r="D108" s="12" t="str">
        <f>IF(ISERROR(FIND(",",E108)),INDEX(Tactics!$A$2:$A$8,MATCH(TRIM(E108),Tactics!$B$2:$B$8,0)),_xlfn.TEXTJOIN(", ",TRUE,INDEX(Tactics!$A$2:$A$8,MATCH(TRIM(LEFT(E108,FIND(",",E108)-1)),Tactics!$B$2:$B$8,0)),INDEX(Tactics!$A$2:$A$8,MATCH(TRIM(MID(E108,FIND(",",E108)+1,LEN(E108))),Tactics!$B$2:$B$8,0))))</f>
        <v>TA0001</v>
      </c>
      <c r="E108" s="12" t="s">
        <v>36</v>
      </c>
    </row>
    <row r="109" spans="1:5" ht="80.099999999999994">
      <c r="A109" s="12" t="s">
        <v>338</v>
      </c>
      <c r="B109" s="12" t="s">
        <v>339</v>
      </c>
      <c r="C109" s="12" t="s">
        <v>340</v>
      </c>
      <c r="D109" s="12" t="str">
        <f>IF(ISERROR(FIND(",",E109)),INDEX(Tactics!$A$2:$A$8,MATCH(TRIM(E109),Tactics!$B$2:$B$8,0)),_xlfn.TEXTJOIN(", ",TRUE,INDEX(Tactics!$A$2:$A$8,MATCH(TRIM(LEFT(E109,FIND(",",E109)-1)),Tactics!$B$2:$B$8,0)),INDEX(Tactics!$A$2:$A$8,MATCH(TRIM(MID(E109,FIND(",",E109)+1,LEN(E109))),Tactics!$B$2:$B$8,0))))</f>
        <v>TA0001</v>
      </c>
      <c r="E109" s="12" t="s">
        <v>36</v>
      </c>
    </row>
    <row r="110" spans="1:5" ht="80.099999999999994">
      <c r="A110" s="12" t="s">
        <v>341</v>
      </c>
      <c r="B110" s="12" t="s">
        <v>342</v>
      </c>
      <c r="C110" s="12" t="s">
        <v>343</v>
      </c>
      <c r="D110" s="12" t="str">
        <f>IF(ISERROR(FIND(",",E110)),INDEX(Tactics!$A$2:$A$8,MATCH(TRIM(E110),Tactics!$B$2:$B$8,0)),_xlfn.TEXTJOIN(", ",TRUE,INDEX(Tactics!$A$2:$A$8,MATCH(TRIM(LEFT(E110,FIND(",",E110)-1)),Tactics!$B$2:$B$8,0)),INDEX(Tactics!$A$2:$A$8,MATCH(TRIM(MID(E110,FIND(",",E110)+1,LEN(E110))),Tactics!$B$2:$B$8,0))))</f>
        <v>TA0042</v>
      </c>
      <c r="E110" s="12" t="s">
        <v>91</v>
      </c>
    </row>
    <row r="111" spans="1:5" ht="80.099999999999994">
      <c r="A111" s="12" t="s">
        <v>344</v>
      </c>
      <c r="B111" s="12" t="s">
        <v>345</v>
      </c>
      <c r="C111" s="12" t="s">
        <v>346</v>
      </c>
      <c r="D111" s="12" t="str">
        <f>IF(ISERROR(FIND(",",E111)),INDEX(Tactics!$A$2:$A$8,MATCH(TRIM(E111),Tactics!$B$2:$B$8,0)),_xlfn.TEXTJOIN(", ",TRUE,INDEX(Tactics!$A$2:$A$8,MATCH(TRIM(LEFT(E111,FIND(",",E111)-1)),Tactics!$B$2:$B$8,0)),INDEX(Tactics!$A$2:$A$8,MATCH(TRIM(MID(E111,FIND(",",E111)+1,LEN(E111))),Tactics!$B$2:$B$8,0))))</f>
        <v>TA0042</v>
      </c>
      <c r="E111" s="12" t="s">
        <v>91</v>
      </c>
    </row>
    <row r="112" spans="1:5" ht="335.1">
      <c r="A112" s="12" t="s">
        <v>347</v>
      </c>
      <c r="B112" s="12" t="s">
        <v>348</v>
      </c>
      <c r="C112" s="12" t="s">
        <v>349</v>
      </c>
      <c r="D112" s="12" t="str">
        <f>IF(ISERROR(FIND(",",E112)),INDEX(Tactics!$A$2:$A$8,MATCH(TRIM(E112),Tactics!$B$2:$B$8,0)),_xlfn.TEXTJOIN(", ",TRUE,INDEX(Tactics!$A$2:$A$8,MATCH(TRIM(LEFT(E112,FIND(",",E112)-1)),Tactics!$B$2:$B$8,0)),INDEX(Tactics!$A$2:$A$8,MATCH(TRIM(MID(E112,FIND(",",E112)+1,LEN(E112))),Tactics!$B$2:$B$8,0))))</f>
        <v>TA0043, FA0001</v>
      </c>
      <c r="E112" s="12" t="s">
        <v>350</v>
      </c>
    </row>
    <row r="113" spans="1:5" ht="48">
      <c r="A113" s="12" t="s">
        <v>351</v>
      </c>
      <c r="B113" s="12" t="s">
        <v>352</v>
      </c>
      <c r="C113" s="12" t="s">
        <v>353</v>
      </c>
      <c r="D113" s="12" t="str">
        <f>IF(ISERROR(FIND(",",E113)),INDEX(Tactics!$A$2:$A$8,MATCH(TRIM(E113),Tactics!$B$2:$B$8,0)),_xlfn.TEXTJOIN(", ",TRUE,INDEX(Tactics!$A$2:$A$8,MATCH(TRIM(LEFT(E113,FIND(",",E113)-1)),Tactics!$B$2:$B$8,0)),INDEX(Tactics!$A$2:$A$8,MATCH(TRIM(MID(E113,FIND(",",E113)+1,LEN(E113))),Tactics!$B$2:$B$8,0))))</f>
        <v>FA0002</v>
      </c>
      <c r="E113" s="12" t="s">
        <v>149</v>
      </c>
    </row>
    <row r="114" spans="1:5" ht="395.1">
      <c r="A114" s="12" t="s">
        <v>354</v>
      </c>
      <c r="B114" s="12" t="s">
        <v>355</v>
      </c>
      <c r="C114" s="12" t="s">
        <v>356</v>
      </c>
      <c r="D114" s="12" t="str">
        <f>IF(ISERROR(FIND(",",E114)),INDEX(Tactics!$A$2:$A$8,MATCH(TRIM(E114),Tactics!$B$2:$B$8,0)),_xlfn.TEXTJOIN(", ",TRUE,INDEX(Tactics!$A$2:$A$8,MATCH(TRIM(LEFT(E114,FIND(",",E114)-1)),Tactics!$B$2:$B$8,0)),INDEX(Tactics!$A$2:$A$8,MATCH(TRIM(MID(E114,FIND(",",E114)+1,LEN(E114))),Tactics!$B$2:$B$8,0))))</f>
        <v>TA0001</v>
      </c>
      <c r="E114" s="12" t="s">
        <v>36</v>
      </c>
    </row>
    <row r="115" spans="1:5" ht="63.95">
      <c r="A115" s="12" t="s">
        <v>357</v>
      </c>
      <c r="B115" s="12" t="s">
        <v>358</v>
      </c>
      <c r="C115" s="12" t="s">
        <v>359</v>
      </c>
      <c r="D115" s="12" t="str">
        <f>IF(ISERROR(FIND(",",E115)),INDEX(Tactics!$A$2:$A$8,MATCH(TRIM(E115),Tactics!$B$2:$B$8,0)),_xlfn.TEXTJOIN(", ",TRUE,INDEX(Tactics!$A$2:$A$8,MATCH(TRIM(LEFT(E115,FIND(",",E115)-1)),Tactics!$B$2:$B$8,0)),INDEX(Tactics!$A$2:$A$8,MATCH(TRIM(MID(E115,FIND(",",E115)+1,LEN(E115))),Tactics!$B$2:$B$8,0))))</f>
        <v>FA0001</v>
      </c>
      <c r="E115" s="12" t="s">
        <v>14</v>
      </c>
    </row>
    <row r="116" spans="1:5" ht="80.099999999999994">
      <c r="A116" s="12" t="s">
        <v>225</v>
      </c>
      <c r="B116" s="12" t="s">
        <v>360</v>
      </c>
      <c r="C116" s="12" t="s">
        <v>361</v>
      </c>
      <c r="D116" s="12" t="str">
        <f>IF(ISERROR(FIND(",",E116)),INDEX(Tactics!$A$2:$A$8,MATCH(TRIM(E116),Tactics!$B$2:$B$8,0)),_xlfn.TEXTJOIN(", ",TRUE,INDEX(Tactics!$A$2:$A$8,MATCH(TRIM(LEFT(E116,FIND(",",E116)-1)),Tactics!$B$2:$B$8,0)),INDEX(Tactics!$A$2:$A$8,MATCH(TRIM(MID(E116,FIND(",",E116)+1,LEN(E116))),Tactics!$B$2:$B$8,0))))</f>
        <v>TA0001</v>
      </c>
      <c r="E116" s="12" t="s">
        <v>36</v>
      </c>
    </row>
    <row r="117" spans="1:5" ht="96">
      <c r="A117" s="12" t="s">
        <v>362</v>
      </c>
      <c r="B117" s="12" t="s">
        <v>363</v>
      </c>
      <c r="C117" s="12" t="s">
        <v>364</v>
      </c>
      <c r="D117" s="12" t="str">
        <f>IF(ISERROR(FIND(",",E117)),INDEX(Tactics!$A$2:$A$8,MATCH(TRIM(E117),Tactics!$B$2:$B$8,0)),_xlfn.TEXTJOIN(", ",TRUE,INDEX(Tactics!$A$2:$A$8,MATCH(TRIM(LEFT(E117,FIND(",",E117)-1)),Tactics!$B$2:$B$8,0)),INDEX(Tactics!$A$2:$A$8,MATCH(TRIM(MID(E117,FIND(",",E117)+1,LEN(E117))),Tactics!$B$2:$B$8,0))))</f>
        <v>TA0001</v>
      </c>
      <c r="E117" s="12" t="s">
        <v>36</v>
      </c>
    </row>
    <row r="118" spans="1:5" ht="144">
      <c r="A118" s="12" t="s">
        <v>365</v>
      </c>
      <c r="B118" s="12" t="s">
        <v>366</v>
      </c>
      <c r="C118" s="12" t="s">
        <v>367</v>
      </c>
      <c r="D118" s="12" t="str">
        <f>IF(ISERROR(FIND(",",E118)),INDEX(Tactics!$A$2:$A$8,MATCH(TRIM(E118),Tactics!$B$2:$B$8,0)),_xlfn.TEXTJOIN(", ",TRUE,INDEX(Tactics!$A$2:$A$8,MATCH(TRIM(LEFT(E118,FIND(",",E118)-1)),Tactics!$B$2:$B$8,0)),INDEX(Tactics!$A$2:$A$8,MATCH(TRIM(MID(E118,FIND(",",E118)+1,LEN(E118))),Tactics!$B$2:$B$8,0))))</f>
        <v>TA0005</v>
      </c>
      <c r="E118" s="12" t="s">
        <v>10</v>
      </c>
    </row>
    <row r="119" spans="1:5" ht="409.6">
      <c r="A119" s="12" t="s">
        <v>368</v>
      </c>
      <c r="B119" s="12" t="s">
        <v>369</v>
      </c>
      <c r="C119" s="12" t="s">
        <v>370</v>
      </c>
      <c r="D119" s="12" t="str">
        <f>IF(ISERROR(FIND(",",E119)),INDEX(Tactics!$A$2:$A$8,MATCH(TRIM(E119),Tactics!$B$2:$B$8,0)),_xlfn.TEXTJOIN(", ",TRUE,INDEX(Tactics!$A$2:$A$8,MATCH(TRIM(LEFT(E119,FIND(",",E119)-1)),Tactics!$B$2:$B$8,0)),INDEX(Tactics!$A$2:$A$8,MATCH(TRIM(MID(E119,FIND(",",E119)+1,LEN(E119))),Tactics!$B$2:$B$8,0))))</f>
        <v>TA0042</v>
      </c>
      <c r="E119" s="12" t="s">
        <v>91</v>
      </c>
    </row>
    <row r="120" spans="1:5" ht="80.099999999999994">
      <c r="A120" s="12" t="s">
        <v>371</v>
      </c>
      <c r="B120" s="12" t="s">
        <v>372</v>
      </c>
      <c r="C120" s="12" t="s">
        <v>373</v>
      </c>
      <c r="D120" s="12" t="str">
        <f>IF(ISERROR(FIND(",",E120)),INDEX(Tactics!$A$2:$A$8,MATCH(TRIM(E120),Tactics!$B$2:$B$8,0)),_xlfn.TEXTJOIN(", ",TRUE,INDEX(Tactics!$A$2:$A$8,MATCH(TRIM(LEFT(E120,FIND(",",E120)-1)),Tactics!$B$2:$B$8,0)),INDEX(Tactics!$A$2:$A$8,MATCH(TRIM(MID(E120,FIND(",",E120)+1,LEN(E120))),Tactics!$B$2:$B$8,0))))</f>
        <v>FA0002</v>
      </c>
      <c r="E120" s="12" t="s">
        <v>149</v>
      </c>
    </row>
    <row r="121" spans="1:5" ht="96">
      <c r="A121" s="12" t="s">
        <v>374</v>
      </c>
      <c r="B121" s="12" t="s">
        <v>375</v>
      </c>
      <c r="C121" s="12" t="s">
        <v>376</v>
      </c>
      <c r="D121" s="12" t="str">
        <f>IF(ISERROR(FIND(",",E121)),INDEX(Tactics!$A$2:$A$8,MATCH(TRIM(E121),Tactics!$B$2:$B$8,0)),_xlfn.TEXTJOIN(", ",TRUE,INDEX(Tactics!$A$2:$A$8,MATCH(TRIM(LEFT(E121,FIND(",",E121)-1)),Tactics!$B$2:$B$8,0)),INDEX(Tactics!$A$2:$A$8,MATCH(TRIM(MID(E121,FIND(",",E121)+1,LEN(E121))),Tactics!$B$2:$B$8,0))))</f>
        <v>FA0002</v>
      </c>
      <c r="E121" s="12" t="s">
        <v>149</v>
      </c>
    </row>
    <row r="122" spans="1:5" ht="63.95">
      <c r="A122" s="12" t="s">
        <v>377</v>
      </c>
      <c r="B122" s="12" t="s">
        <v>378</v>
      </c>
      <c r="C122" s="12" t="s">
        <v>379</v>
      </c>
      <c r="D122" s="12" t="str">
        <f>IF(ISERROR(FIND(",",E122)),INDEX(Tactics!$A$2:$A$8,MATCH(TRIM(E122),Tactics!$B$2:$B$8,0)),_xlfn.TEXTJOIN(", ",TRUE,INDEX(Tactics!$A$2:$A$8,MATCH(TRIM(LEFT(E122,FIND(",",E122)-1)),Tactics!$B$2:$B$8,0)),INDEX(Tactics!$A$2:$A$8,MATCH(TRIM(MID(E122,FIND(",",E122)+1,LEN(E122))),Tactics!$B$2:$B$8,0))))</f>
        <v>FA0002</v>
      </c>
      <c r="E122" s="12" t="s">
        <v>149</v>
      </c>
    </row>
    <row r="123" spans="1:5" ht="96">
      <c r="A123" s="12" t="s">
        <v>380</v>
      </c>
      <c r="B123" s="12" t="s">
        <v>381</v>
      </c>
      <c r="C123" s="12" t="s">
        <v>382</v>
      </c>
      <c r="D123" s="12" t="str">
        <f>IF(ISERROR(FIND(",",E123)),INDEX(Tactics!$A$2:$A$8,MATCH(TRIM(E123),Tactics!$B$2:$B$8,0)),_xlfn.TEXTJOIN(", ",TRUE,INDEX(Tactics!$A$2:$A$8,MATCH(TRIM(LEFT(E123,FIND(",",E123)-1)),Tactics!$B$2:$B$8,0)),INDEX(Tactics!$A$2:$A$8,MATCH(TRIM(MID(E123,FIND(",",E123)+1,LEN(E123))),Tactics!$B$2:$B$8,0))))</f>
        <v>TA0005</v>
      </c>
      <c r="E123" s="12" t="s">
        <v>10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8"/>
  <sheetViews>
    <sheetView tabSelected="1" topLeftCell="A3" zoomScaleNormal="100" workbookViewId="0">
      <selection activeCell="C7" sqref="C7"/>
    </sheetView>
  </sheetViews>
  <sheetFormatPr defaultColWidth="8.85546875" defaultRowHeight="15"/>
  <cols>
    <col min="2" max="2" width="27.42578125" customWidth="1"/>
    <col min="3" max="3" width="78.42578125" style="3" customWidth="1"/>
  </cols>
  <sheetData>
    <row r="1" spans="1:4" ht="15.95">
      <c r="A1" s="5" t="s">
        <v>3</v>
      </c>
      <c r="B1" s="5" t="s">
        <v>4</v>
      </c>
      <c r="C1" s="5" t="s">
        <v>383</v>
      </c>
    </row>
    <row r="2" spans="1:4" ht="144">
      <c r="A2" s="6" t="s">
        <v>384</v>
      </c>
      <c r="B2" s="6" t="s">
        <v>228</v>
      </c>
      <c r="C2" s="7" t="s">
        <v>385</v>
      </c>
    </row>
    <row r="3" spans="1:4" ht="111.95">
      <c r="A3" s="8" t="s">
        <v>386</v>
      </c>
      <c r="B3" s="8" t="s">
        <v>91</v>
      </c>
      <c r="C3" s="9" t="s">
        <v>387</v>
      </c>
    </row>
    <row r="4" spans="1:4" ht="111.95">
      <c r="A4" s="6" t="s">
        <v>388</v>
      </c>
      <c r="B4" s="6" t="s">
        <v>36</v>
      </c>
      <c r="C4" s="7" t="s">
        <v>389</v>
      </c>
      <c r="D4" s="3"/>
    </row>
    <row r="5" spans="1:4" ht="111.95">
      <c r="A5" s="8" t="s">
        <v>390</v>
      </c>
      <c r="B5" s="8" t="s">
        <v>10</v>
      </c>
      <c r="C5" s="9" t="s">
        <v>391</v>
      </c>
    </row>
    <row r="6" spans="1:4" ht="111.95">
      <c r="A6" s="10" t="s">
        <v>392</v>
      </c>
      <c r="B6" s="10" t="s">
        <v>14</v>
      </c>
      <c r="C6" s="11" t="s">
        <v>393</v>
      </c>
    </row>
    <row r="7" spans="1:4" ht="176.1">
      <c r="A7" s="8" t="s">
        <v>394</v>
      </c>
      <c r="B7" s="8" t="s">
        <v>28</v>
      </c>
      <c r="C7" s="9" t="s">
        <v>395</v>
      </c>
    </row>
    <row r="8" spans="1:4" ht="128.1">
      <c r="A8" s="10" t="s">
        <v>396</v>
      </c>
      <c r="B8" s="10" t="s">
        <v>149</v>
      </c>
      <c r="C8" s="11" t="s">
        <v>397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Props1.xml><?xml version="1.0" encoding="utf-8"?>
<ds:datastoreItem xmlns:ds="http://schemas.openxmlformats.org/officeDocument/2006/customXml" ds:itemID="{D5E9A6EB-E1F5-40DF-8E3D-2573C78749C9}"/>
</file>

<file path=customXml/itemProps2.xml><?xml version="1.0" encoding="utf-8"?>
<ds:datastoreItem xmlns:ds="http://schemas.openxmlformats.org/officeDocument/2006/customXml" ds:itemID="{5B507651-5BE5-4ABC-ABE6-D1B49CE5227B}"/>
</file>

<file path=customXml/itemProps3.xml><?xml version="1.0" encoding="utf-8"?>
<ds:datastoreItem xmlns:ds="http://schemas.openxmlformats.org/officeDocument/2006/customXml" ds:itemID="{DC7F9EF2-C1BC-4CE0-ADE4-7BA4FE8FF5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2026-02-26T15:07:32Z</dcterms:created>
  <dcterms:modified xsi:type="dcterms:W3CDTF">2026-03-26T14:44:01Z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