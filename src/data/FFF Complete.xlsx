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026 - Fight Fraud 2026/Working Folder/"/>
    </mc:Choice>
  </mc:AlternateContent>
  <xr:revisionPtr revIDLastSave="1028" documentId="8_{30597B9D-288E-3046-9855-201D30DB2587}" xr6:coauthVersionLast="47" xr6:coauthVersionMax="47" xr10:uidLastSave="{7B000E32-7AD3-B744-8419-FA64020C124D}"/>
  <bookViews>
    <workbookView xWindow="0" yWindow="780" windowWidth="41120" windowHeight="24540" activeTab="1" xr2:uid="{00000000-000D-0000-FFFF-FFFF00000000}"/>
  </bookViews>
  <sheets>
    <sheet name="Techniques" sheetId="3"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4" i="3" l="1" a="1"/>
  <c r="D124" i="3" s="1"/>
  <c r="D123" i="3" a="1"/>
  <c r="D123" i="3" s="1"/>
  <c r="D122" i="3" a="1"/>
  <c r="D122" i="3" s="1"/>
  <c r="D121" i="3" a="1"/>
  <c r="D121" i="3" s="1"/>
  <c r="D120" i="3" a="1"/>
  <c r="D120" i="3" s="1"/>
  <c r="D119" i="3" a="1"/>
  <c r="D119" i="3" s="1"/>
  <c r="D118" i="3" a="1"/>
  <c r="D118" i="3" s="1"/>
  <c r="D117" i="3" a="1"/>
  <c r="D117" i="3" s="1"/>
  <c r="D116" i="3" a="1"/>
  <c r="D116" i="3" s="1"/>
  <c r="D115" i="3" a="1"/>
  <c r="D115" i="3" s="1"/>
  <c r="D114" i="3" a="1"/>
  <c r="D114" i="3" s="1"/>
  <c r="D113" i="3" a="1"/>
  <c r="D113" i="3" s="1"/>
  <c r="D112" i="3" a="1"/>
  <c r="D112" i="3" s="1"/>
  <c r="D111" i="3" a="1"/>
  <c r="D111" i="3" s="1"/>
  <c r="D110" i="3" a="1"/>
  <c r="D110" i="3" s="1"/>
  <c r="D109" i="3" a="1"/>
  <c r="D109" i="3" s="1"/>
  <c r="D108" i="3" a="1"/>
  <c r="D108" i="3" s="1"/>
  <c r="D107" i="3" a="1"/>
  <c r="D107" i="3" s="1"/>
  <c r="D106" i="3" a="1"/>
  <c r="D106" i="3" s="1"/>
  <c r="D105" i="3" a="1"/>
  <c r="D105" i="3" s="1"/>
  <c r="D104" i="3" a="1"/>
  <c r="D104" i="3" s="1"/>
  <c r="D103" i="3" a="1"/>
  <c r="D103" i="3" s="1"/>
  <c r="D102" i="3" a="1"/>
  <c r="D102" i="3" s="1"/>
  <c r="D101" i="3" a="1"/>
  <c r="D101" i="3" s="1"/>
  <c r="D100" i="3" a="1"/>
  <c r="D100" i="3" s="1"/>
  <c r="D99" i="3" a="1"/>
  <c r="D99" i="3" s="1"/>
  <c r="D98" i="3" a="1"/>
  <c r="D98" i="3" s="1"/>
  <c r="D97" i="3" a="1"/>
  <c r="D97" i="3" s="1"/>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D76" i="3" a="1"/>
  <c r="D76" i="3" s="1"/>
  <c r="D75" i="3" a="1"/>
  <c r="D75" i="3" s="1"/>
  <c r="D74" i="3" a="1"/>
  <c r="D74" i="3" s="1"/>
  <c r="D73" i="3" a="1"/>
  <c r="D73" i="3" s="1"/>
  <c r="D72" i="3" a="1"/>
  <c r="D72" i="3" s="1"/>
  <c r="D71" i="3" a="1"/>
  <c r="D71"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<sst xmlns="http://schemas.openxmlformats.org/spreadsheetml/2006/main" count="524" uniqueCount="411">
  <si>
    <t>Technique ID</t>
  </si>
  <si>
    <t>Technique</t>
  </si>
  <si>
    <t>Description</t>
  </si>
  <si>
    <t>Tactic ID</t>
  </si>
  <si>
    <t>Tactic Name</t>
  </si>
  <si>
    <t>3DS Bypass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</si>
  <si>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</si>
  <si>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T1453</t>
  </si>
  <si>
    <t>Abuse Accessibility Features</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</si>
  <si>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</si>
  <si>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Positioning</t>
  </si>
  <si>
    <t>F1001</t>
  </si>
  <si>
    <t>Abuse of Public-Facing API</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</si>
  <si>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</si>
  <si>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Initial Access, Execution, Positioning</t>
  </si>
  <si>
    <t>Abuse of Public-Facing API: Mobile API Abuse</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</si>
  <si>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</si>
  <si>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Abuse of Public-Facing API: Web API Abuse</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</si>
  <si>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</si>
  <si>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F1004</t>
  </si>
  <si>
    <t>Abuse SMS verification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</si>
  <si>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</si>
  <si>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Execution</t>
  </si>
  <si>
    <t>F1006</t>
  </si>
  <si>
    <t>Access with Stolen Session Cookie</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</si>
  <si>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</si>
  <si>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Initial Access</t>
  </si>
  <si>
    <t>T1531</t>
  </si>
  <si>
    <t>Account Access Removal</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</si>
  <si>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</si>
  <si>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F1008</t>
  </si>
  <si>
    <t>Account Manipulation</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</si>
  <si>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</si>
  <si>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F1008.001</t>
  </si>
  <si>
    <t>Account Manipulation: Account Linking</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</si>
  <si>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</si>
  <si>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F1008.002</t>
  </si>
  <si>
    <t>Account Manipulation: Add Authorized User</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</si>
  <si>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</si>
  <si>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Account Manipulation: Add Beneficiary</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</si>
  <si>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</si>
  <si>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Account Manipulation: Update Call Receiving Device</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</si>
  <si>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</si>
  <si>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Account Manipulation: Change Account Details</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</si>
  <si>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</si>
  <si>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Account Manipulation: Change E-Delivery or Notification Settings</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</si>
  <si>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</si>
  <si>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Account Manipulation: Change of Payment Details</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</si>
  <si>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</si>
  <si>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Account Manipulation: Enable Account Features</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</si>
  <si>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</si>
  <si>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F1018</t>
  </si>
  <si>
    <t>Account Takeover</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</si>
  <si>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</si>
  <si>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</si>
  <si>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</si>
  <si>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</si>
  <si>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</si>
  <si>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</si>
  <si>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</si>
  <si>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T1650</t>
  </si>
  <si>
    <t>Acquire Access</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</si>
  <si>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</si>
  <si>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Resource Development</t>
  </si>
  <si>
    <t>T1583</t>
  </si>
  <si>
    <t>Acquire Infrastructure</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</si>
  <si>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</si>
  <si>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T1583.001</t>
  </si>
  <si>
    <t>Acquire Infrastructure: Domains</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</si>
  <si>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</si>
  <si>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</si>
  <si>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</si>
  <si>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</si>
  <si>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T1583.003</t>
  </si>
  <si>
    <t>Acquire Infrastructure: Virtual Private Network or Server</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</si>
  <si>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</si>
  <si>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F1023</t>
  </si>
  <si>
    <t>Adversary-in-the-Browser</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</si>
  <si>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</si>
  <si>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Initial Access, Positioning, Execution</t>
  </si>
  <si>
    <t>Adversary-in-the-Browser: DLL Injection</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</si>
  <si>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</si>
  <si>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Adversary-in-the-Browser: Malicious Browser Extension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</si>
  <si>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</si>
  <si>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Adversary-in-the-Browser: Malicious JavaScript Injection</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</si>
  <si>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</si>
  <si>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</si>
  <si>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</si>
  <si>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</si>
  <si>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F1030</t>
  </si>
  <si>
    <t>ATM Manipulation</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</si>
  <si>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</si>
  <si>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ATM Manipulation: ATM Hardware Manipulation</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</si>
  <si>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</si>
  <si>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ATM Manipulation: ATM Software Manipulation</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</si>
  <si>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</si>
  <si>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F1033</t>
  </si>
  <si>
    <t>Bank Deposit</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</si>
  <si>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</si>
  <si>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Execution, Positioning</t>
  </si>
  <si>
    <t>Bank Deposit: ATM Deposit</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</si>
  <si>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</si>
  <si>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Bank Deposit: Mobile Deposit</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</si>
  <si>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</si>
  <si>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Bank Deposit: Night Deposit</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</si>
  <si>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</si>
  <si>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Bank Deposit: Test Deposit</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</si>
  <si>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</si>
  <si>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F1038</t>
  </si>
  <si>
    <t>Transfer of funds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</si>
  <si>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</si>
  <si>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Monetization</t>
  </si>
  <si>
    <t>F1039</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</si>
  <si>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</si>
  <si>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</si>
  <si>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T1185</t>
  </si>
  <si>
    <t>Browser Session Hijacking</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</si>
  <si>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</si>
  <si>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Initial Access, Positioning</t>
  </si>
  <si>
    <t>T1110</t>
  </si>
  <si>
    <t>Brute Force</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</si>
  <si>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</si>
  <si>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</si>
  <si>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</si>
  <si>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</si>
  <si>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</si>
  <si>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</si>
  <si>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</si>
  <si>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T1110.001</t>
  </si>
  <si>
    <t>Brute Force: Password Guessing</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</si>
  <si>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</si>
  <si>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</si>
  <si>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</si>
  <si>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</si>
  <si>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F1041</t>
  </si>
  <si>
    <t>Buy Money Order</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</si>
  <si>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</si>
  <si>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F1042</t>
  </si>
  <si>
    <t>Card Dump Capture</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</si>
  <si>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</si>
  <si>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Positioning, Reconnaissance</t>
  </si>
  <si>
    <t>F1043</t>
  </si>
  <si>
    <t>Card Testing</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</si>
  <si>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</si>
  <si>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Change Payroll Details</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</si>
  <si>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</si>
  <si>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Dispute Legitimate Transaction</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</si>
  <si>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</si>
  <si>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Check Fraud</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</si>
  <si>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</si>
  <si>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Churning</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</si>
  <si>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</si>
  <si>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</si>
  <si>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</si>
  <si>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</si>
  <si>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T1586.003</t>
  </si>
  <si>
    <t>Compromise Accounts: Cloud Accounts</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</si>
  <si>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</si>
  <si>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T1586.004</t>
  </si>
  <si>
    <t>Compromise Accounts: Corporate Accounts</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</si>
  <si>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</si>
  <si>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T1586.002</t>
  </si>
  <si>
    <t>Compromise Accounts: Email Accounts</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</si>
  <si>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</si>
  <si>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T1586.001</t>
  </si>
  <si>
    <t>Compromise Accounts: Social Media Accounts</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</si>
  <si>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</si>
  <si>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</si>
  <si>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</si>
  <si>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</si>
  <si>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</si>
  <si>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</si>
  <si>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</si>
  <si>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</si>
  <si>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Create Fake Materials</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</si>
  <si>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</si>
  <si>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Create Fake Materials: Fake Documents</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</si>
  <si>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</si>
  <si>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</si>
  <si>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</si>
  <si>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T1555</t>
  </si>
  <si>
    <t>Credentials from Password Stores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</si>
  <si>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</si>
  <si>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</si>
  <si>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</si>
  <si>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</si>
  <si>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</si>
  <si>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T1555.005</t>
  </si>
  <si>
    <t>Credentials from Password Stores: Password Managers</t>
  </si>
  <si>
    <t xml:space="preserve">Fraud actors may acquire user credentials from third-party password managers.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</si>
  <si>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</si>
  <si>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</si>
  <si>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Device Fingerprint Spoofing</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</si>
  <si>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</si>
  <si>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T1189</t>
  </si>
  <si>
    <t>Drive-by Compromise</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</si>
  <si>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</si>
  <si>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</si>
  <si>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</si>
  <si>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Fraud actors may flood targeted email addresses with an overwhelming volume of messages. This may bury legitimate emails in a flood of spam and disrupt business operations.
A fraud actor may accomplish email bombing by leveraging an automated bot to register a targeted address for e-mail lists that do not validate new signups, such as online newsletters. The result can be a wave of thousands of e-mails that effectively overloads the victim’s inbox.
By sending hundreds or thousands of e-mails in quick succession, fraud actors may successfully divert attention away from and bury legitimate messages including security alerts, daily business processes like help desk tickets and client correspondence, or ongoing scams. This behavior can also be used as a tool of harassment.</t>
  </si>
  <si>
    <t>T1672</t>
  </si>
  <si>
    <t>Email Spoofing</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</si>
  <si>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</si>
  <si>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T1585</t>
  </si>
  <si>
    <t>Establish Accounts</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</si>
  <si>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</si>
  <si>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Falsify Business Documents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</si>
  <si>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</si>
  <si>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</si>
  <si>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</si>
  <si>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</si>
  <si>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Execution, Monetization</t>
  </si>
  <si>
    <t>Gather Customer Information</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</si>
  <si>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</si>
  <si>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T1593</t>
  </si>
  <si>
    <t>Search Open Websites/Domains</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</si>
  <si>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</si>
  <si>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</si>
  <si>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Search Open Websites/Domains: Social Media</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</si>
  <si>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</si>
  <si>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T1593.002</t>
  </si>
  <si>
    <t>Search Open Websites/Domains: Search Engines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</si>
  <si>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</si>
  <si>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Geolocation Spoofing</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</si>
  <si>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</si>
  <si>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Create Fraudulent Merchant Account</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</si>
  <si>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</si>
  <si>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Impersonate Account Holder</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</si>
  <si>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</si>
  <si>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Impersonate Official</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</si>
  <si>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</si>
  <si>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</si>
  <si>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</si>
  <si>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</si>
  <si>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Insider Access Abuse</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</si>
  <si>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</si>
  <si>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Interactive Voice Response Mapping</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</si>
  <si>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</si>
  <si>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Mail Theft</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</si>
  <si>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</si>
  <si>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</si>
  <si>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</si>
  <si>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</si>
  <si>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T1621</t>
  </si>
  <si>
    <t>Multi-Factor Authentication Request Generation</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</si>
  <si>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</si>
  <si>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New Vendor Setup</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</si>
  <si>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</si>
  <si>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NFC Payment</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</si>
  <si>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</si>
  <si>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PAN/CVV Generation</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</si>
  <si>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</si>
  <si>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PaReq Manipulation</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</si>
  <si>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</si>
  <si>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</si>
  <si>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</si>
  <si>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</si>
  <si>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T1598</t>
  </si>
  <si>
    <t>Phishing for Information</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</si>
  <si>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</si>
  <si>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PIN-code Peeking</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</si>
  <si>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</si>
  <si>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Initial Access, Reconnaissance</t>
  </si>
  <si>
    <t>Reactivate Account</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</si>
  <si>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</si>
  <si>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Positioning, Initial Access</t>
  </si>
  <si>
    <t>T1219</t>
  </si>
  <si>
    <t>Remote Access Tools</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</si>
  <si>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</si>
  <si>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Reversal of Transaction</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</si>
  <si>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</si>
  <si>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Scheduled Transfer</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</si>
  <si>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</si>
  <si>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</si>
  <si>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</si>
  <si>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</si>
  <si>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</si>
  <si>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</si>
  <si>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</si>
  <si>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</si>
  <si>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</si>
  <si>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</si>
  <si>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T1608.006</t>
  </si>
  <si>
    <t>Stage Capabilities: SEO Poisoning</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</si>
  <si>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</si>
  <si>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</si>
  <si>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</si>
  <si>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</si>
  <si>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Structuring</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</si>
  <si>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</si>
  <si>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T1195</t>
  </si>
  <si>
    <t>Supply Chain Compromise</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</si>
  <si>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</si>
  <si>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</si>
  <si>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</si>
  <si>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T1550</t>
  </si>
  <si>
    <t>Use Alternate Authentication Material</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</si>
  <si>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</si>
  <si>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T1550.001</t>
  </si>
  <si>
    <t>Use Alternate Authentication Material: Application Access Token</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</si>
  <si>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</si>
  <si>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Use Virtual Cards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</si>
  <si>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</si>
  <si>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F1044</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</si>
  <si>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</si>
  <si>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</si>
  <si>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Electronic Funds Transfer: Peer-to-Peer Transfer</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</si>
  <si>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</si>
  <si>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Electronic Funds Transfer: Regional Payment Rail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</si>
  <si>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</si>
  <si>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</si>
  <si>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</si>
  <si>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</si>
  <si>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</si>
  <si>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</si>
  <si>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</si>
  <si>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</si>
  <si>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</si>
  <si>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</si>
  <si>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</si>
  <si>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</si>
  <si>
    <t>Tactic Description</t>
  </si>
  <si>
    <t>TA0043</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</si>
  <si>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</si>
  <si>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TA0042</t>
  </si>
  <si>
    <t>TA0001</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</si>
  <si>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</si>
  <si>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</si>
  <si>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FA0001</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</si>
  <si>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</si>
  <si>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TA0002</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</si>
  <si>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</si>
  <si>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</si>
  <si>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</si>
  <si>
    <t>Phone Number Spoofing</t>
  </si>
  <si>
    <t>Fraud actors may manipulate caller ID information so that outgoing calls appear to originate from a different phone number than the one actually used. This enables them to impersonate trusted organizations or ordinary customers in order to bypass call‑screening controls, establish credibility, and support social engineering or other fraudulent activity.</t>
  </si>
  <si>
    <t>Fraud actors may spoof an official phone number associated with a trusted organization, such as a bank, government agency, or law enforcement office, when calling victims. By making the call appear to come from a recognized institution’s published number, they increase the likelihood that targets will trust the caller, disclose sensitive information, or perform high‑risk actions such as approving transactions or granting account access.</t>
  </si>
  <si>
    <t>Phone Number Spoofing: Customer Phone Number Spoofing</t>
  </si>
  <si>
    <t>Phone Number Spoofing: Official Phone Number Spoofing</t>
  </si>
  <si>
    <t>F1002</t>
  </si>
  <si>
    <t>F1002.001</t>
  </si>
  <si>
    <t>F1002.002</t>
  </si>
  <si>
    <t>F1003</t>
  </si>
  <si>
    <t>F1005</t>
  </si>
  <si>
    <t>F1005.001</t>
  </si>
  <si>
    <t>F1005.002</t>
  </si>
  <si>
    <t>F1005.003</t>
  </si>
  <si>
    <t>F1005.004</t>
  </si>
  <si>
    <t>F1005.005</t>
  </si>
  <si>
    <t>F1005.006</t>
  </si>
  <si>
    <t>F1005.007</t>
  </si>
  <si>
    <t>F1005.008</t>
  </si>
  <si>
    <t>F1006.001</t>
  </si>
  <si>
    <t>F1006.002</t>
  </si>
  <si>
    <t>F1006.003</t>
  </si>
  <si>
    <t>F1007</t>
  </si>
  <si>
    <t>F1007.001</t>
  </si>
  <si>
    <t>F1007.002</t>
  </si>
  <si>
    <t>F1007.003</t>
  </si>
  <si>
    <t>F1009</t>
  </si>
  <si>
    <t>F1009.001</t>
  </si>
  <si>
    <t>F1009.002</t>
  </si>
  <si>
    <t>F1009.003</t>
  </si>
  <si>
    <t>F1009.004</t>
  </si>
  <si>
    <t>F1010</t>
  </si>
  <si>
    <t>F1011</t>
  </si>
  <si>
    <t>F1012</t>
  </si>
  <si>
    <t>F1013</t>
  </si>
  <si>
    <t>F1014</t>
  </si>
  <si>
    <t>F1015</t>
  </si>
  <si>
    <t>F1016</t>
  </si>
  <si>
    <t>F1017</t>
  </si>
  <si>
    <t>F1017.001</t>
  </si>
  <si>
    <t>F1017.002</t>
  </si>
  <si>
    <t>F1017.003</t>
  </si>
  <si>
    <t>F1019</t>
  </si>
  <si>
    <t>F1020</t>
  </si>
  <si>
    <t>F1020.001</t>
  </si>
  <si>
    <t>F1020.002</t>
  </si>
  <si>
    <t>F1021</t>
  </si>
  <si>
    <t>F1022</t>
  </si>
  <si>
    <t>F1024</t>
  </si>
  <si>
    <t>F1025</t>
  </si>
  <si>
    <t>F1025.001</t>
  </si>
  <si>
    <t>F1025.002</t>
  </si>
  <si>
    <t>F1025.003</t>
  </si>
  <si>
    <t>F1026</t>
  </si>
  <si>
    <t>F1027</t>
  </si>
  <si>
    <t>F1028</t>
  </si>
  <si>
    <t>F1029</t>
  </si>
  <si>
    <t>F1031</t>
  </si>
  <si>
    <t>F1032</t>
  </si>
  <si>
    <t>F1034</t>
  </si>
  <si>
    <t>F1035</t>
  </si>
  <si>
    <t>F1036</t>
  </si>
  <si>
    <t>F1037</t>
  </si>
  <si>
    <t>F1040</t>
  </si>
  <si>
    <t>F1040.001</t>
  </si>
  <si>
    <t xml:space="preserve">Fraud actors may spoof a phone number that appears to belong to a legitimate customer or other ordinary individual when calling financial institutions or other official entities. By presenting themselves as the account holder from a plausible personal number, they attempt to pass identity verification, obtain confidential information about the customer, or convince staff to change account details, reset credentials, or otherwise grant access that facilitates downstream fraud like Impersonate Account Holder. </t>
  </si>
  <si>
    <t>F1040.002</t>
  </si>
  <si>
    <t>F1046</t>
  </si>
  <si>
    <t>Stealth</t>
  </si>
  <si>
    <t>Defense Impairment</t>
  </si>
  <si>
    <t>TA0112</t>
  </si>
  <si>
    <t>The fraud actor is trying to hide and conceal fraudulent activity by appearing as normal user or business behavior.
Stealth consists of techniques that reduce the likelihood of detection by blending in with legitimate activity or minimizing observable indicators of fraud. These techniques are characterized by concealment behaviors such as obfuscation, impersonation, traffic shaping, or mimicking normal customer operations, without directly modifying security controls or monitoring systems. The goal is to remain indistinguishable from benign activity while leaving defensive systems operational and intact.</t>
  </si>
  <si>
    <t>The fraud actor is trying to break or undermine security mechanisms, fraud controls, or customer safeguards, so defenders or victims cannot respond to fraudulent activity.
Defense Impairment consists of techniques that degrade, disable, evade, or undermine the effectiveness and trustworthiness of security controls, fraud prevention systems, and customer-facing security features. This is characterized by direct interference with defensive technologies, operational processes, or user security controls. This may include disabling account alerts, suppressing notifications, modifying contact information, or bypassing authentication safeguards. The goal is to reduce the ability of organizations and victims to identify, prevent, or respond to fraud activity.</t>
  </si>
  <si>
    <t>Positioning, Defense Impairment</t>
  </si>
  <si>
    <t>Initial Access, Stealth</t>
  </si>
  <si>
    <t>Positioning, Stealth</t>
  </si>
  <si>
    <t>Stealth, Reconnaissance, Initial Access</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</si>
  <si>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Stealth.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</si>
</sst>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4">
    <border>
      <left/>
      <right/>
      <top/>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0">
    <xf numFmtId="0" fontId="0" fillId="0" borderId="0" xfId="0"/>
    <xf numFmtId="0" fontId="0" fillId="0" borderId="0" xfId="0" applyAlignment="1">
      <alignment wrapText="1"/>
    </xf>
    <xf numFmtId="0" fontId="1" fillId="2" borderId="1" xfId="0" applyFont="1" applyFill="1" applyBorder="1" applyAlignment="1">
      <alignment horizontal="center" vertical="top" wrapText="1"/>
    </xf>
    <xf numFmtId="0" fontId="0" fillId="3" borderId="2" xfId="0" applyFill="1" applyBorder="1" applyAlignment="1">
      <alignment wrapText="1"/>
    </xf>
    <xf numFmtId="0" fontId="0" fillId="3" borderId="3"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4" borderId="2" xfId="0" applyFill="1" applyBorder="1" applyAlignment="1">
      <alignment wrapText="1"/>
    </xf>
    <xf numFmtId="0" fontId="0" fillId="4" borderId="3" xfId="0" applyFill="1" applyBorder="1" applyAlignment="1">
      <alignment wrapText="1"/>
    </xf>
    <xf numFmtId="0" fontId="0" fillId="0" borderId="0" xfId="0" applyAlignment="1">
      <alignment vertical="center" wrapText="1"/>
    </xf>
  </cellXfs>
  <cellStyles count="1">
    <cellStyle name="Normal" xfId="0" builtinId="0"/>
  </cellStyles>
  <dxfs count="7">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BEEFEE-E3B4-B44F-9E71-6AE19DED35EE}" name="Table3" displayName="Table3" ref="A1:E124" totalsRowShown="0" headerRowDxfId="6" dataDxfId="5">
  <autoFilter ref="A1:E124" xr:uid="{BDBEEFEE-E3B4-B44F-9E71-6AE19DED35EE}"/>
  <tableColumns count="5">
    <tableColumn id="1" xr3:uid="{8F5A44A0-4B23-A845-9663-D1024F0256E8}" name="Technique ID" dataDxfId="4"/>
    <tableColumn id="2" xr3:uid="{0E261353-3B35-9545-B29B-D3CCE324F186}" name="Technique" dataDxfId="3"/>
    <tableColumn id="3" xr3:uid="{51B433AD-8142-E440-9AED-E63704C1B41A}" name="Description" dataDxfId="2"/>
    <tableColumn id="4" xr3:uid="{5B8FEF47-4EED-4A4B-ABF1-186C68D8996D}" name="Tactic ID" dataDxfId="1">
      <calculatedColumnFormula array="1">IF(E2="","",_xlfn.LET(
    _xlpm.text,E2,
    _xlpm.split,_xlfn.TEXTSPLIT(_xlpm.text,", "),
    _xlpm.ids,_xlfn.MAP(_xlpm.split,_xlfn.LAMBDA(_xlpm.name,INDEX(Tactics!$A$2:$A$10,MATCH(TRIM(_xlpm.name),Tactics!$B$2:$B$10,0)))),
    _xlfn.TEXTJOIN(", ",TRUE,_xlpm.ids)
))</calculatedColumnFormula>
    </tableColumn>
    <tableColumn id="5" xr3:uid="{8C6897B6-F7EA-BE49-A313-3BB42FB7CE4C}" name="Tactic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1F2C2-5E1F-D940-A677-2203A6F401F7}">
  <dimension ref="A1:E124"/>
  <sheetViews>
    <sheetView workbookViewId="0">
      <pane ySplit="1" topLeftCell="A2" activePane="bottomLeft" state="frozen"/>
      <selection pane="bottomLeft" activeCell="E2" sqref="E2"/>
    </sheetView>
  </sheetViews>
  <sheetFormatPr baseColWidth="10" defaultRowHeight="15" x14ac:dyDescent="0.2"/>
  <cols>
    <col min="1" max="1" width="13.83203125" bestFit="1" customWidth="1"/>
    <col min="2" max="2" width="34.1640625" customWidth="1"/>
    <col min="3" max="3" width="77.83203125" customWidth="1"/>
    <col min="4" max="4" width="11.5" customWidth="1"/>
    <col min="5" max="5" width="15" customWidth="1"/>
  </cols>
  <sheetData>
    <row r="1" spans="1:5" ht="16" x14ac:dyDescent="0.2">
      <c r="A1" s="9" t="s">
        <v>0</v>
      </c>
      <c r="B1" s="9" t="s">
        <v>1</v>
      </c>
      <c r="C1" s="9" t="s">
        <v>2</v>
      </c>
      <c r="D1" s="9" t="s">
        <v>3</v>
      </c>
      <c r="E1" s="9" t="s">
        <v>4</v>
      </c>
    </row>
    <row r="2" spans="1:5" ht="96" x14ac:dyDescent="0.2">
      <c r="A2" s="9" t="s">
        <v>11</v>
      </c>
      <c r="B2" s="9" t="s">
        <v>5</v>
      </c>
      <c r="C2" s="9" t="s">
        <v>6</v>
      </c>
      <c r="D2" s="9" t="str" cm="1">
        <f t="array" ref="D2">IF(E2="","",_xlfn.LET(
    _xlpm.text,E2,
    _xlpm.split,_xlfn.TEXTSPLIT(_xlpm.text,", "),
    _xlpm.ids,_xlfn.MAP(_xlpm.split,_xlfn.LAMBDA(_xlpm.name,INDEX(Tactics!$A$2:$A$10,MATCH(TRIM(_xlpm.name),Tactics!$B$2:$B$10,0)))),
    _xlfn.TEXTJOIN(", ",TRUE,_xlpm.ids)
))</f>
        <v>TA0005</v>
      </c>
      <c r="E2" s="9" t="s">
        <v>401</v>
      </c>
    </row>
    <row r="3" spans="1:5" ht="96" x14ac:dyDescent="0.2">
      <c r="A3" s="9" t="s">
        <v>7</v>
      </c>
      <c r="B3" s="9" t="s">
        <v>8</v>
      </c>
      <c r="C3" s="9" t="s">
        <v>9</v>
      </c>
      <c r="D3" s="9" t="str" cm="1">
        <f t="array" ref="D3">IF(E3="","",_xlfn.LET(
    _xlpm.text,E3,
    _xlpm.split,_xlfn.TEXTSPLIT(_xlpm.text,", "),
    _xlpm.ids,_xlfn.MAP(_xlpm.split,_xlfn.LAMBDA(_xlpm.name,INDEX(Tactics!$A$2:$A$10,MATCH(TRIM(_xlpm.name),Tactics!$B$2:$B$10,0)))),
    _xlfn.TEXTJOIN(", ",TRUE,_xlpm.ids)
))</f>
        <v>FA0001</v>
      </c>
      <c r="E3" s="9" t="s">
        <v>10</v>
      </c>
    </row>
    <row r="4" spans="1:5" ht="80" x14ac:dyDescent="0.2">
      <c r="A4" s="9" t="s">
        <v>339</v>
      </c>
      <c r="B4" s="9" t="s">
        <v>12</v>
      </c>
      <c r="C4" s="9" t="s">
        <v>13</v>
      </c>
      <c r="D4" s="9" t="str" cm="1">
        <f t="array" ref="D4">IF(E4="","",_xlfn.LET(
    _xlpm.text,E4,
    _xlpm.split,_xlfn.TEXTSPLIT(_xlpm.text,", "),
    _xlpm.ids,_xlfn.MAP(_xlpm.split,_xlfn.LAMBDA(_xlpm.name,INDEX(Tactics!$A$2:$A$10,MATCH(TRIM(_xlpm.name),Tactics!$B$2:$B$10,0)))),
    _xlfn.TEXTJOIN(", ",TRUE,_xlpm.ids)
))</f>
        <v>TA0001, TA0002, FA0001</v>
      </c>
      <c r="E4" s="9" t="s">
        <v>14</v>
      </c>
    </row>
    <row r="5" spans="1:5" ht="80" x14ac:dyDescent="0.2">
      <c r="A5" s="9" t="s">
        <v>340</v>
      </c>
      <c r="B5" s="9" t="s">
        <v>15</v>
      </c>
      <c r="C5" s="9" t="s">
        <v>16</v>
      </c>
      <c r="D5" s="9" t="str" cm="1">
        <f t="array" ref="D5">IF(E5="","",_xlfn.LET(
    _xlpm.text,E5,
    _xlpm.split,_xlfn.TEXTSPLIT(_xlpm.text,", "),
    _xlpm.ids,_xlfn.MAP(_xlpm.split,_xlfn.LAMBDA(_xlpm.name,INDEX(Tactics!$A$2:$A$10,MATCH(TRIM(_xlpm.name),Tactics!$B$2:$B$10,0)))),
    _xlfn.TEXTJOIN(", ",TRUE,_xlpm.ids)
))</f>
        <v>TA0001, TA0002, FA0001</v>
      </c>
      <c r="E5" s="9" t="s">
        <v>14</v>
      </c>
    </row>
    <row r="6" spans="1:5" ht="80" x14ac:dyDescent="0.2">
      <c r="A6" s="9" t="s">
        <v>341</v>
      </c>
      <c r="B6" s="9" t="s">
        <v>17</v>
      </c>
      <c r="C6" s="9" t="s">
        <v>18</v>
      </c>
      <c r="D6" s="9" t="str" cm="1">
        <f t="array" ref="D6">IF(E6="","",_xlfn.LET(
    _xlpm.text,E6,
    _xlpm.split,_xlfn.TEXTSPLIT(_xlpm.text,", "),
    _xlpm.ids,_xlfn.MAP(_xlpm.split,_xlfn.LAMBDA(_xlpm.name,INDEX(Tactics!$A$2:$A$10,MATCH(TRIM(_xlpm.name),Tactics!$B$2:$B$10,0)))),
    _xlfn.TEXTJOIN(", ",TRUE,_xlpm.ids)
))</f>
        <v>TA0001, TA0002, FA0001</v>
      </c>
      <c r="E6" s="9" t="s">
        <v>14</v>
      </c>
    </row>
    <row r="7" spans="1:5" ht="272" x14ac:dyDescent="0.2">
      <c r="A7" s="9" t="s">
        <v>342</v>
      </c>
      <c r="B7" s="9" t="s">
        <v>20</v>
      </c>
      <c r="C7" s="9" t="s">
        <v>21</v>
      </c>
      <c r="D7" s="9" t="str" cm="1">
        <f t="array" ref="D7">IF(E7="","",_xlfn.LET(
    _xlpm.text,E7,
    _xlpm.split,_xlfn.TEXTSPLIT(_xlpm.text,", "),
    _xlpm.ids,_xlfn.MAP(_xlpm.split,_xlfn.LAMBDA(_xlpm.name,INDEX(Tactics!$A$2:$A$10,MATCH(TRIM(_xlpm.name),Tactics!$B$2:$B$10,0)))),
    _xlfn.TEXTJOIN(", ",TRUE,_xlpm.ids)
))</f>
        <v>TA0002</v>
      </c>
      <c r="E7" s="9" t="s">
        <v>22</v>
      </c>
    </row>
    <row r="8" spans="1:5" ht="80" x14ac:dyDescent="0.2">
      <c r="A8" s="9" t="s">
        <v>19</v>
      </c>
      <c r="B8" s="9" t="s">
        <v>24</v>
      </c>
      <c r="C8" s="9" t="s">
        <v>25</v>
      </c>
      <c r="D8" s="9" t="str" cm="1">
        <f t="array" ref="D8">IF(E8="","",_xlfn.LET(
    _xlpm.text,E8,
    _xlpm.split,_xlfn.TEXTSPLIT(_xlpm.text,", "),
    _xlpm.ids,_xlfn.MAP(_xlpm.split,_xlfn.LAMBDA(_xlpm.name,INDEX(Tactics!$A$2:$A$10,MATCH(TRIM(_xlpm.name),Tactics!$B$2:$B$10,0)))),
    _xlfn.TEXTJOIN(", ",TRUE,_xlpm.ids)
))</f>
        <v>TA0001</v>
      </c>
      <c r="E8" s="9" t="s">
        <v>26</v>
      </c>
    </row>
    <row r="9" spans="1:5" ht="80" x14ac:dyDescent="0.2">
      <c r="A9" s="9" t="s">
        <v>27</v>
      </c>
      <c r="B9" s="9" t="s">
        <v>28</v>
      </c>
      <c r="C9" s="9" t="s">
        <v>29</v>
      </c>
      <c r="D9" s="9" t="str" cm="1">
        <f t="array" ref="D9">IF(E9="","",_xlfn.LET(
    _xlpm.text,E9,
    _xlpm.split,_xlfn.TEXTSPLIT(_xlpm.text,", "),
    _xlpm.ids,_xlfn.MAP(_xlpm.split,_xlfn.LAMBDA(_xlpm.name,INDEX(Tactics!$A$2:$A$10,MATCH(TRIM(_xlpm.name),Tactics!$B$2:$B$10,0)))),
    _xlfn.TEXTJOIN(", ",TRUE,_xlpm.ids)
))</f>
        <v>FA0001</v>
      </c>
      <c r="E9" s="9" t="s">
        <v>10</v>
      </c>
    </row>
    <row r="10" spans="1:5" ht="96" x14ac:dyDescent="0.2">
      <c r="A10" s="9" t="s">
        <v>343</v>
      </c>
      <c r="B10" s="9" t="s">
        <v>31</v>
      </c>
      <c r="C10" s="9" t="s">
        <v>32</v>
      </c>
      <c r="D10" s="9" t="str" cm="1">
        <f t="array" ref="D10">IF(E10="","",_xlfn.LET(
    _xlpm.text,E10,
    _xlpm.split,_xlfn.TEXTSPLIT(_xlpm.text,", "),
    _xlpm.ids,_xlfn.MAP(_xlpm.split,_xlfn.LAMBDA(_xlpm.name,INDEX(Tactics!$A$2:$A$10,MATCH(TRIM(_xlpm.name),Tactics!$B$2:$B$10,0)))),
    _xlfn.TEXTJOIN(", ",TRUE,_xlpm.ids)
))</f>
        <v>FA0001, TA0112</v>
      </c>
      <c r="E10" s="9" t="s">
        <v>406</v>
      </c>
    </row>
    <row r="11" spans="1:5" ht="80" x14ac:dyDescent="0.2">
      <c r="A11" s="9" t="s">
        <v>344</v>
      </c>
      <c r="B11" s="9" t="s">
        <v>34</v>
      </c>
      <c r="C11" s="9" t="s">
        <v>35</v>
      </c>
      <c r="D11" s="9" t="str" cm="1">
        <f t="array" ref="D11">IF(E11="","",_xlfn.LET(
    _xlpm.text,E11,
    _xlpm.split,_xlfn.TEXTSPLIT(_xlpm.text,", "),
    _xlpm.ids,_xlfn.MAP(_xlpm.split,_xlfn.LAMBDA(_xlpm.name,INDEX(Tactics!$A$2:$A$10,MATCH(TRIM(_xlpm.name),Tactics!$B$2:$B$10,0)))),
    _xlfn.TEXTJOIN(", ",TRUE,_xlpm.ids)
))</f>
        <v>FA0001, TA0112</v>
      </c>
      <c r="E11" s="9" t="s">
        <v>406</v>
      </c>
    </row>
    <row r="12" spans="1:5" ht="80" x14ac:dyDescent="0.2">
      <c r="A12" s="9" t="s">
        <v>345</v>
      </c>
      <c r="B12" s="9" t="s">
        <v>37</v>
      </c>
      <c r="C12" s="9" t="s">
        <v>38</v>
      </c>
      <c r="D12" s="9" t="str" cm="1">
        <f t="array" ref="D12">IF(E12="","",_xlfn.LET(
    _xlpm.text,E12,
    _xlpm.split,_xlfn.TEXTSPLIT(_xlpm.text,", "),
    _xlpm.ids,_xlfn.MAP(_xlpm.split,_xlfn.LAMBDA(_xlpm.name,INDEX(Tactics!$A$2:$A$10,MATCH(TRIM(_xlpm.name),Tactics!$B$2:$B$10,0)))),
    _xlfn.TEXTJOIN(", ",TRUE,_xlpm.ids)
))</f>
        <v>FA0001, TA0112</v>
      </c>
      <c r="E12" s="9" t="s">
        <v>406</v>
      </c>
    </row>
    <row r="13" spans="1:5" ht="80" x14ac:dyDescent="0.2">
      <c r="A13" s="9" t="s">
        <v>346</v>
      </c>
      <c r="B13" s="9" t="s">
        <v>39</v>
      </c>
      <c r="C13" s="9" t="s">
        <v>40</v>
      </c>
      <c r="D13" s="9" t="str" cm="1">
        <f t="array" ref="D13">IF(E13="","",_xlfn.LET(
    _xlpm.text,E13,
    _xlpm.split,_xlfn.TEXTSPLIT(_xlpm.text,", "),
    _xlpm.ids,_xlfn.MAP(_xlpm.split,_xlfn.LAMBDA(_xlpm.name,INDEX(Tactics!$A$2:$A$10,MATCH(TRIM(_xlpm.name),Tactics!$B$2:$B$10,0)))),
    _xlfn.TEXTJOIN(", ",TRUE,_xlpm.ids)
))</f>
        <v>FA0001, TA0112</v>
      </c>
      <c r="E13" s="9" t="s">
        <v>406</v>
      </c>
    </row>
    <row r="14" spans="1:5" ht="80" x14ac:dyDescent="0.2">
      <c r="A14" s="9" t="s">
        <v>347</v>
      </c>
      <c r="B14" s="9" t="s">
        <v>43</v>
      </c>
      <c r="C14" s="9" t="s">
        <v>44</v>
      </c>
      <c r="D14" s="9" t="str" cm="1">
        <f t="array" ref="D14">IF(E14="","",_xlfn.LET(
    _xlpm.text,E14,
    _xlpm.split,_xlfn.TEXTSPLIT(_xlpm.text,", "),
    _xlpm.ids,_xlfn.MAP(_xlpm.split,_xlfn.LAMBDA(_xlpm.name,INDEX(Tactics!$A$2:$A$10,MATCH(TRIM(_xlpm.name),Tactics!$B$2:$B$10,0)))),
    _xlfn.TEXTJOIN(", ",TRUE,_xlpm.ids)
))</f>
        <v>FA0001, TA0112</v>
      </c>
      <c r="E14" s="9" t="s">
        <v>406</v>
      </c>
    </row>
    <row r="15" spans="1:5" ht="64" x14ac:dyDescent="0.2">
      <c r="A15" s="9" t="s">
        <v>348</v>
      </c>
      <c r="B15" s="9" t="s">
        <v>45</v>
      </c>
      <c r="C15" s="9" t="s">
        <v>46</v>
      </c>
      <c r="D15" s="9" t="str" cm="1">
        <f t="array" ref="D15">IF(E15="","",_xlfn.LET(
    _xlpm.text,E15,
    _xlpm.split,_xlfn.TEXTSPLIT(_xlpm.text,", "),
    _xlpm.ids,_xlfn.MAP(_xlpm.split,_xlfn.LAMBDA(_xlpm.name,INDEX(Tactics!$A$2:$A$10,MATCH(TRIM(_xlpm.name),Tactics!$B$2:$B$10,0)))),
    _xlfn.TEXTJOIN(", ",TRUE,_xlpm.ids)
))</f>
        <v>FA0001, TA0112</v>
      </c>
      <c r="E15" s="9" t="s">
        <v>406</v>
      </c>
    </row>
    <row r="16" spans="1:5" ht="80" x14ac:dyDescent="0.2">
      <c r="A16" s="9" t="s">
        <v>349</v>
      </c>
      <c r="B16" s="9" t="s">
        <v>47</v>
      </c>
      <c r="C16" s="9" t="s">
        <v>48</v>
      </c>
      <c r="D16" s="9" t="str" cm="1">
        <f t="array" ref="D16">IF(E16="","",_xlfn.LET(
    _xlpm.text,E16,
    _xlpm.split,_xlfn.TEXTSPLIT(_xlpm.text,", "),
    _xlpm.ids,_xlfn.MAP(_xlpm.split,_xlfn.LAMBDA(_xlpm.name,INDEX(Tactics!$A$2:$A$10,MATCH(TRIM(_xlpm.name),Tactics!$B$2:$B$10,0)))),
    _xlfn.TEXTJOIN(", ",TRUE,_xlpm.ids)
))</f>
        <v>FA0001, TA0112</v>
      </c>
      <c r="E16" s="9" t="s">
        <v>406</v>
      </c>
    </row>
    <row r="17" spans="1:5" ht="80" x14ac:dyDescent="0.2">
      <c r="A17" s="9" t="s">
        <v>350</v>
      </c>
      <c r="B17" s="9" t="s">
        <v>49</v>
      </c>
      <c r="C17" s="9" t="s">
        <v>50</v>
      </c>
      <c r="D17" s="9" t="str" cm="1">
        <f t="array" ref="D17">IF(E17="","",_xlfn.LET(
    _xlpm.text,E17,
    _xlpm.split,_xlfn.TEXTSPLIT(_xlpm.text,", "),
    _xlpm.ids,_xlfn.MAP(_xlpm.split,_xlfn.LAMBDA(_xlpm.name,INDEX(Tactics!$A$2:$A$10,MATCH(TRIM(_xlpm.name),Tactics!$B$2:$B$10,0)))),
    _xlfn.TEXTJOIN(", ",TRUE,_xlpm.ids)
))</f>
        <v>FA0001, TA0112</v>
      </c>
      <c r="E17" s="9" t="s">
        <v>406</v>
      </c>
    </row>
    <row r="18" spans="1:5" ht="80" x14ac:dyDescent="0.2">
      <c r="A18" s="9" t="s">
        <v>351</v>
      </c>
      <c r="B18" s="9" t="s">
        <v>41</v>
      </c>
      <c r="C18" s="9" t="s">
        <v>42</v>
      </c>
      <c r="D18" s="9" t="str" cm="1">
        <f t="array" ref="D18">IF(E18="","",_xlfn.LET(
    _xlpm.text,E18,
    _xlpm.split,_xlfn.TEXTSPLIT(_xlpm.text,", "),
    _xlpm.ids,_xlfn.MAP(_xlpm.split,_xlfn.LAMBDA(_xlpm.name,INDEX(Tactics!$A$2:$A$10,MATCH(TRIM(_xlpm.name),Tactics!$B$2:$B$10,0)))),
    _xlfn.TEXTJOIN(", ",TRUE,_xlpm.ids)
))</f>
        <v>FA0001, TA0112</v>
      </c>
      <c r="E18" s="9" t="s">
        <v>406</v>
      </c>
    </row>
    <row r="19" spans="1:5" ht="176" x14ac:dyDescent="0.2">
      <c r="A19" s="9" t="s">
        <v>23</v>
      </c>
      <c r="B19" s="9" t="s">
        <v>52</v>
      </c>
      <c r="C19" s="9" t="s">
        <v>53</v>
      </c>
      <c r="D19" s="9" t="str" cm="1">
        <f t="array" ref="D19">IF(E19="","",_xlfn.LET(
    _xlpm.text,E19,
    _xlpm.split,_xlfn.TEXTSPLIT(_xlpm.text,", "),
    _xlpm.ids,_xlfn.MAP(_xlpm.split,_xlfn.LAMBDA(_xlpm.name,INDEX(Tactics!$A$2:$A$10,MATCH(TRIM(_xlpm.name),Tactics!$B$2:$B$10,0)))),
    _xlfn.TEXTJOIN(", ",TRUE,_xlpm.ids)
))</f>
        <v>TA0001</v>
      </c>
      <c r="E19" s="9" t="s">
        <v>26</v>
      </c>
    </row>
    <row r="20" spans="1:5" ht="160" x14ac:dyDescent="0.2">
      <c r="A20" s="9" t="s">
        <v>352</v>
      </c>
      <c r="B20" s="9" t="s">
        <v>54</v>
      </c>
      <c r="C20" s="9" t="s">
        <v>55</v>
      </c>
      <c r="D20" s="9" t="str" cm="1">
        <f t="array" ref="D20">IF(E20="","",_xlfn.LET(
    _xlpm.text,E20,
    _xlpm.split,_xlfn.TEXTSPLIT(_xlpm.text,", "),
    _xlpm.ids,_xlfn.MAP(_xlpm.split,_xlfn.LAMBDA(_xlpm.name,INDEX(Tactics!$A$2:$A$10,MATCH(TRIM(_xlpm.name),Tactics!$B$2:$B$10,0)))),
    _xlfn.TEXTJOIN(", ",TRUE,_xlpm.ids)
))</f>
        <v>TA0001</v>
      </c>
      <c r="E20" s="9" t="s">
        <v>26</v>
      </c>
    </row>
    <row r="21" spans="1:5" ht="160" x14ac:dyDescent="0.2">
      <c r="A21" s="9" t="s">
        <v>353</v>
      </c>
      <c r="B21" s="9" t="s">
        <v>56</v>
      </c>
      <c r="C21" s="9" t="s">
        <v>57</v>
      </c>
      <c r="D21" s="9" t="str" cm="1">
        <f t="array" ref="D21">IF(E21="","",_xlfn.LET(
    _xlpm.text,E21,
    _xlpm.split,_xlfn.TEXTSPLIT(_xlpm.text,", "),
    _xlpm.ids,_xlfn.MAP(_xlpm.split,_xlfn.LAMBDA(_xlpm.name,INDEX(Tactics!$A$2:$A$10,MATCH(TRIM(_xlpm.name),Tactics!$B$2:$B$10,0)))),
    _xlfn.TEXTJOIN(", ",TRUE,_xlpm.ids)
))</f>
        <v>TA0001</v>
      </c>
      <c r="E21" s="9" t="s">
        <v>26</v>
      </c>
    </row>
    <row r="22" spans="1:5" ht="112" x14ac:dyDescent="0.2">
      <c r="A22" s="9" t="s">
        <v>354</v>
      </c>
      <c r="B22" s="9" t="s">
        <v>58</v>
      </c>
      <c r="C22" s="9" t="s">
        <v>59</v>
      </c>
      <c r="D22" s="9" t="str" cm="1">
        <f t="array" ref="D22">IF(E22="","",_xlfn.LET(
    _xlpm.text,E22,
    _xlpm.split,_xlfn.TEXTSPLIT(_xlpm.text,", "),
    _xlpm.ids,_xlfn.MAP(_xlpm.split,_xlfn.LAMBDA(_xlpm.name,INDEX(Tactics!$A$2:$A$10,MATCH(TRIM(_xlpm.name),Tactics!$B$2:$B$10,0)))),
    _xlfn.TEXTJOIN(", ",TRUE,_xlpm.ids)
))</f>
        <v>TA0001</v>
      </c>
      <c r="E22" s="9" t="s">
        <v>26</v>
      </c>
    </row>
    <row r="23" spans="1:5" ht="288" x14ac:dyDescent="0.2">
      <c r="A23" s="9" t="s">
        <v>60</v>
      </c>
      <c r="B23" s="9" t="s">
        <v>61</v>
      </c>
      <c r="C23" s="9" t="s">
        <v>62</v>
      </c>
      <c r="D23" s="9" t="str" cm="1">
        <f t="array" ref="D23">IF(E23="","",_xlfn.LET(
    _xlpm.text,E23,
    _xlpm.split,_xlfn.TEXTSPLIT(_xlpm.text,", "),
    _xlpm.ids,_xlfn.MAP(_xlpm.split,_xlfn.LAMBDA(_xlpm.name,INDEX(Tactics!$A$2:$A$10,MATCH(TRIM(_xlpm.name),Tactics!$B$2:$B$10,0)))),
    _xlfn.TEXTJOIN(", ",TRUE,_xlpm.ids)
))</f>
        <v>TA0042</v>
      </c>
      <c r="E23" s="9" t="s">
        <v>63</v>
      </c>
    </row>
    <row r="24" spans="1:5" ht="96" x14ac:dyDescent="0.2">
      <c r="A24" s="9" t="s">
        <v>64</v>
      </c>
      <c r="B24" s="9" t="s">
        <v>65</v>
      </c>
      <c r="C24" s="9" t="s">
        <v>66</v>
      </c>
      <c r="D24" s="9" t="str" cm="1">
        <f t="array" ref="D24">IF(E24="","",_xlfn.LET(
    _xlpm.text,E24,
    _xlpm.split,_xlfn.TEXTSPLIT(_xlpm.text,", "),
    _xlpm.ids,_xlfn.MAP(_xlpm.split,_xlfn.LAMBDA(_xlpm.name,INDEX(Tactics!$A$2:$A$10,MATCH(TRIM(_xlpm.name),Tactics!$B$2:$B$10,0)))),
    _xlfn.TEXTJOIN(", ",TRUE,_xlpm.ids)
))</f>
        <v>TA0042</v>
      </c>
      <c r="E24" s="9" t="s">
        <v>63</v>
      </c>
    </row>
    <row r="25" spans="1:5" ht="80" x14ac:dyDescent="0.2">
      <c r="A25" s="9" t="s">
        <v>67</v>
      </c>
      <c r="B25" s="9" t="s">
        <v>68</v>
      </c>
      <c r="C25" s="9" t="s">
        <v>69</v>
      </c>
      <c r="D25" s="9" t="str" cm="1">
        <f t="array" ref="D25">IF(E25="","",_xlfn.LET(
    _xlpm.text,E25,
    _xlpm.split,_xlfn.TEXTSPLIT(_xlpm.text,", "),
    _xlpm.ids,_xlfn.MAP(_xlpm.split,_xlfn.LAMBDA(_xlpm.name,INDEX(Tactics!$A$2:$A$10,MATCH(TRIM(_xlpm.name),Tactics!$B$2:$B$10,0)))),
    _xlfn.TEXTJOIN(", ",TRUE,_xlpm.ids)
))</f>
        <v>TA0042</v>
      </c>
      <c r="E25" s="9" t="s">
        <v>63</v>
      </c>
    </row>
    <row r="26" spans="1:5" ht="96" x14ac:dyDescent="0.2">
      <c r="A26" s="9" t="s">
        <v>70</v>
      </c>
      <c r="B26" s="9" t="s">
        <v>71</v>
      </c>
      <c r="C26" s="9" t="s">
        <v>72</v>
      </c>
      <c r="D26" s="9" t="str" cm="1">
        <f t="array" ref="D26">IF(E26="","",_xlfn.LET(
    _xlpm.text,E26,
    _xlpm.split,_xlfn.TEXTSPLIT(_xlpm.text,", "),
    _xlpm.ids,_xlfn.MAP(_xlpm.split,_xlfn.LAMBDA(_xlpm.name,INDEX(Tactics!$A$2:$A$10,MATCH(TRIM(_xlpm.name),Tactics!$B$2:$B$10,0)))),
    _xlfn.TEXTJOIN(", ",TRUE,_xlpm.ids)
))</f>
        <v>TA0042</v>
      </c>
      <c r="E26" s="9" t="s">
        <v>63</v>
      </c>
    </row>
    <row r="27" spans="1:5" ht="64" x14ac:dyDescent="0.2">
      <c r="A27" s="9" t="s">
        <v>73</v>
      </c>
      <c r="B27" s="9" t="s">
        <v>74</v>
      </c>
      <c r="C27" s="9" t="s">
        <v>75</v>
      </c>
      <c r="D27" s="9" t="str" cm="1">
        <f t="array" ref="D27">IF(E27="","",_xlfn.LET(
    _xlpm.text,E27,
    _xlpm.split,_xlfn.TEXTSPLIT(_xlpm.text,", "),
    _xlpm.ids,_xlfn.MAP(_xlpm.split,_xlfn.LAMBDA(_xlpm.name,INDEX(Tactics!$A$2:$A$10,MATCH(TRIM(_xlpm.name),Tactics!$B$2:$B$10,0)))),
    _xlfn.TEXTJOIN(", ",TRUE,_xlpm.ids)
))</f>
        <v>TA0042</v>
      </c>
      <c r="E27" s="9" t="s">
        <v>63</v>
      </c>
    </row>
    <row r="28" spans="1:5" ht="80" x14ac:dyDescent="0.2">
      <c r="A28" s="9" t="s">
        <v>355</v>
      </c>
      <c r="B28" s="9" t="s">
        <v>77</v>
      </c>
      <c r="C28" s="9" t="s">
        <v>78</v>
      </c>
      <c r="D28" s="9" t="str" cm="1">
        <f t="array" ref="D28">IF(E28="","",_xlfn.LET(
    _xlpm.text,E28,
    _xlpm.split,_xlfn.TEXTSPLIT(_xlpm.text,", "),
    _xlpm.ids,_xlfn.MAP(_xlpm.split,_xlfn.LAMBDA(_xlpm.name,INDEX(Tactics!$A$2:$A$10,MATCH(TRIM(_xlpm.name),Tactics!$B$2:$B$10,0)))),
    _xlfn.TEXTJOIN(", ",TRUE,_xlpm.ids)
))</f>
        <v>TA0001, FA0001, TA0002</v>
      </c>
      <c r="E28" s="9" t="s">
        <v>79</v>
      </c>
    </row>
    <row r="29" spans="1:5" ht="80" x14ac:dyDescent="0.2">
      <c r="A29" s="9" t="s">
        <v>356</v>
      </c>
      <c r="B29" s="9" t="s">
        <v>80</v>
      </c>
      <c r="C29" s="9" t="s">
        <v>81</v>
      </c>
      <c r="D29" s="9" t="str" cm="1">
        <f t="array" ref="D29">IF(E29="","",_xlfn.LET(
    _xlpm.text,E29,
    _xlpm.split,_xlfn.TEXTSPLIT(_xlpm.text,", "),
    _xlpm.ids,_xlfn.MAP(_xlpm.split,_xlfn.LAMBDA(_xlpm.name,INDEX(Tactics!$A$2:$A$10,MATCH(TRIM(_xlpm.name),Tactics!$B$2:$B$10,0)))),
    _xlfn.TEXTJOIN(", ",TRUE,_xlpm.ids)
))</f>
        <v>TA0001, FA0001, TA0002</v>
      </c>
      <c r="E29" s="9" t="s">
        <v>79</v>
      </c>
    </row>
    <row r="30" spans="1:5" ht="96" x14ac:dyDescent="0.2">
      <c r="A30" s="9" t="s">
        <v>357</v>
      </c>
      <c r="B30" s="9" t="s">
        <v>82</v>
      </c>
      <c r="C30" s="9" t="s">
        <v>83</v>
      </c>
      <c r="D30" s="9" t="str" cm="1">
        <f t="array" ref="D30">IF(E30="","",_xlfn.LET(
    _xlpm.text,E30,
    _xlpm.split,_xlfn.TEXTSPLIT(_xlpm.text,", "),
    _xlpm.ids,_xlfn.MAP(_xlpm.split,_xlfn.LAMBDA(_xlpm.name,INDEX(Tactics!$A$2:$A$10,MATCH(TRIM(_xlpm.name),Tactics!$B$2:$B$10,0)))),
    _xlfn.TEXTJOIN(", ",TRUE,_xlpm.ids)
))</f>
        <v>TA0001, FA0001, TA0002</v>
      </c>
      <c r="E30" s="9" t="s">
        <v>79</v>
      </c>
    </row>
    <row r="31" spans="1:5" ht="80" x14ac:dyDescent="0.2">
      <c r="A31" s="9" t="s">
        <v>358</v>
      </c>
      <c r="B31" s="9" t="s">
        <v>84</v>
      </c>
      <c r="C31" s="9" t="s">
        <v>85</v>
      </c>
      <c r="D31" s="9" t="str" cm="1">
        <f t="array" ref="D31">IF(E31="","",_xlfn.LET(
    _xlpm.text,E31,
    _xlpm.split,_xlfn.TEXTSPLIT(_xlpm.text,", "),
    _xlpm.ids,_xlfn.MAP(_xlpm.split,_xlfn.LAMBDA(_xlpm.name,INDEX(Tactics!$A$2:$A$10,MATCH(TRIM(_xlpm.name),Tactics!$B$2:$B$10,0)))),
    _xlfn.TEXTJOIN(", ",TRUE,_xlpm.ids)
))</f>
        <v>TA0001, FA0001, TA0002</v>
      </c>
      <c r="E31" s="9" t="s">
        <v>79</v>
      </c>
    </row>
    <row r="32" spans="1:5" ht="96" x14ac:dyDescent="0.2">
      <c r="A32" s="9" t="s">
        <v>86</v>
      </c>
      <c r="B32" s="9" t="s">
        <v>87</v>
      </c>
      <c r="C32" s="9" t="s">
        <v>88</v>
      </c>
      <c r="D32" s="9" t="str" cm="1">
        <f t="array" ref="D32">IF(E32="","",_xlfn.LET(
    _xlpm.text,E32,
    _xlpm.split,_xlfn.TEXTSPLIT(_xlpm.text,", "),
    _xlpm.ids,_xlfn.MAP(_xlpm.split,_xlfn.LAMBDA(_xlpm.name,INDEX(Tactics!$A$2:$A$10,MATCH(TRIM(_xlpm.name),Tactics!$B$2:$B$10,0)))),
    _xlfn.TEXTJOIN(", ",TRUE,_xlpm.ids)
))</f>
        <v>TA0001, FA0001, TA0002</v>
      </c>
      <c r="E32" s="9" t="s">
        <v>79</v>
      </c>
    </row>
    <row r="33" spans="1:5" ht="80" x14ac:dyDescent="0.2">
      <c r="A33" s="9" t="s">
        <v>30</v>
      </c>
      <c r="B33" s="9" t="s">
        <v>90</v>
      </c>
      <c r="C33" s="9" t="s">
        <v>91</v>
      </c>
      <c r="D33" s="9" t="str" cm="1">
        <f t="array" ref="D33">IF(E33="","",_xlfn.LET(
    _xlpm.text,E33,
    _xlpm.split,_xlfn.TEXTSPLIT(_xlpm.text,", "),
    _xlpm.ids,_xlfn.MAP(_xlpm.split,_xlfn.LAMBDA(_xlpm.name,INDEX(Tactics!$A$2:$A$10,MATCH(TRIM(_xlpm.name),Tactics!$B$2:$B$10,0)))),
    _xlfn.TEXTJOIN(", ",TRUE,_xlpm.ids)
))</f>
        <v>TA0002</v>
      </c>
      <c r="E33" s="9" t="s">
        <v>22</v>
      </c>
    </row>
    <row r="34" spans="1:5" ht="80" x14ac:dyDescent="0.2">
      <c r="A34" s="9" t="s">
        <v>33</v>
      </c>
      <c r="B34" s="9" t="s">
        <v>92</v>
      </c>
      <c r="C34" s="9" t="s">
        <v>93</v>
      </c>
      <c r="D34" s="9" t="str" cm="1">
        <f t="array" ref="D34">IF(E34="","",_xlfn.LET(
    _xlpm.text,E34,
    _xlpm.split,_xlfn.TEXTSPLIT(_xlpm.text,", "),
    _xlpm.ids,_xlfn.MAP(_xlpm.split,_xlfn.LAMBDA(_xlpm.name,INDEX(Tactics!$A$2:$A$10,MATCH(TRIM(_xlpm.name),Tactics!$B$2:$B$10,0)))),
    _xlfn.TEXTJOIN(", ",TRUE,_xlpm.ids)
))</f>
        <v>TA0002</v>
      </c>
      <c r="E34" s="9" t="s">
        <v>22</v>
      </c>
    </row>
    <row r="35" spans="1:5" ht="80" x14ac:dyDescent="0.2">
      <c r="A35" s="9" t="s">
        <v>36</v>
      </c>
      <c r="B35" s="9" t="s">
        <v>94</v>
      </c>
      <c r="C35" s="9" t="s">
        <v>95</v>
      </c>
      <c r="D35" s="9" t="str" cm="1">
        <f t="array" ref="D35">IF(E35="","",_xlfn.LET(
    _xlpm.text,E35,
    _xlpm.split,_xlfn.TEXTSPLIT(_xlpm.text,", "),
    _xlpm.ids,_xlfn.MAP(_xlpm.split,_xlfn.LAMBDA(_xlpm.name,INDEX(Tactics!$A$2:$A$10,MATCH(TRIM(_xlpm.name),Tactics!$B$2:$B$10,0)))),
    _xlfn.TEXTJOIN(", ",TRUE,_xlpm.ids)
))</f>
        <v>TA0002</v>
      </c>
      <c r="E35" s="9" t="s">
        <v>22</v>
      </c>
    </row>
    <row r="36" spans="1:5" ht="64" x14ac:dyDescent="0.2">
      <c r="A36" s="9" t="s">
        <v>359</v>
      </c>
      <c r="B36" s="9" t="s">
        <v>97</v>
      </c>
      <c r="C36" s="9" t="s">
        <v>98</v>
      </c>
      <c r="D36" s="9" t="str" cm="1">
        <f t="array" ref="D36">IF(E36="","",_xlfn.LET(
    _xlpm.text,E36,
    _xlpm.split,_xlfn.TEXTSPLIT(_xlpm.text,", "),
    _xlpm.ids,_xlfn.MAP(_xlpm.split,_xlfn.LAMBDA(_xlpm.name,INDEX(Tactics!$A$2:$A$10,MATCH(TRIM(_xlpm.name),Tactics!$B$2:$B$10,0)))),
    _xlfn.TEXTJOIN(", ",TRUE,_xlpm.ids)
))</f>
        <v>TA0002, FA0001</v>
      </c>
      <c r="E36" s="9" t="s">
        <v>99</v>
      </c>
    </row>
    <row r="37" spans="1:5" ht="64" x14ac:dyDescent="0.2">
      <c r="A37" s="9" t="s">
        <v>360</v>
      </c>
      <c r="B37" s="9" t="s">
        <v>100</v>
      </c>
      <c r="C37" s="9" t="s">
        <v>101</v>
      </c>
      <c r="D37" s="9" t="str" cm="1">
        <f t="array" ref="D37">IF(E37="","",_xlfn.LET(
    _xlpm.text,E37,
    _xlpm.split,_xlfn.TEXTSPLIT(_xlpm.text,", "),
    _xlpm.ids,_xlfn.MAP(_xlpm.split,_xlfn.LAMBDA(_xlpm.name,INDEX(Tactics!$A$2:$A$10,MATCH(TRIM(_xlpm.name),Tactics!$B$2:$B$10,0)))),
    _xlfn.TEXTJOIN(", ",TRUE,_xlpm.ids)
))</f>
        <v>TA0002, FA0001</v>
      </c>
      <c r="E37" s="9" t="s">
        <v>99</v>
      </c>
    </row>
    <row r="38" spans="1:5" ht="80" x14ac:dyDescent="0.2">
      <c r="A38" s="9" t="s">
        <v>361</v>
      </c>
      <c r="B38" s="9" t="s">
        <v>102</v>
      </c>
      <c r="C38" s="9" t="s">
        <v>103</v>
      </c>
      <c r="D38" s="9" t="str" cm="1">
        <f t="array" ref="D38">IF(E38="","",_xlfn.LET(
    _xlpm.text,E38,
    _xlpm.split,_xlfn.TEXTSPLIT(_xlpm.text,", "),
    _xlpm.ids,_xlfn.MAP(_xlpm.split,_xlfn.LAMBDA(_xlpm.name,INDEX(Tactics!$A$2:$A$10,MATCH(TRIM(_xlpm.name),Tactics!$B$2:$B$10,0)))),
    _xlfn.TEXTJOIN(", ",TRUE,_xlpm.ids)
))</f>
        <v>TA0002, FA0001</v>
      </c>
      <c r="E38" s="9" t="s">
        <v>99</v>
      </c>
    </row>
    <row r="39" spans="1:5" ht="64" x14ac:dyDescent="0.2">
      <c r="A39" s="9" t="s">
        <v>362</v>
      </c>
      <c r="B39" s="9" t="s">
        <v>104</v>
      </c>
      <c r="C39" s="9" t="s">
        <v>105</v>
      </c>
      <c r="D39" s="9" t="str" cm="1">
        <f t="array" ref="D39">IF(E39="","",_xlfn.LET(
    _xlpm.text,E39,
    _xlpm.split,_xlfn.TEXTSPLIT(_xlpm.text,", "),
    _xlpm.ids,_xlfn.MAP(_xlpm.split,_xlfn.LAMBDA(_xlpm.name,INDEX(Tactics!$A$2:$A$10,MATCH(TRIM(_xlpm.name),Tactics!$B$2:$B$10,0)))),
    _xlfn.TEXTJOIN(", ",TRUE,_xlpm.ids)
))</f>
        <v>TA0002, FA0001</v>
      </c>
      <c r="E39" s="9" t="s">
        <v>99</v>
      </c>
    </row>
    <row r="40" spans="1:5" ht="80" x14ac:dyDescent="0.2">
      <c r="A40" s="9" t="s">
        <v>363</v>
      </c>
      <c r="B40" s="9" t="s">
        <v>106</v>
      </c>
      <c r="C40" s="9" t="s">
        <v>107</v>
      </c>
      <c r="D40" s="9" t="str" cm="1">
        <f t="array" ref="D40">IF(E40="","",_xlfn.LET(
    _xlpm.text,E40,
    _xlpm.split,_xlfn.TEXTSPLIT(_xlpm.text,", "),
    _xlpm.ids,_xlfn.MAP(_xlpm.split,_xlfn.LAMBDA(_xlpm.name,INDEX(Tactics!$A$2:$A$10,MATCH(TRIM(_xlpm.name),Tactics!$B$2:$B$10,0)))),
    _xlfn.TEXTJOIN(", ",TRUE,_xlpm.ids)
))</f>
        <v>TA0002, FA0001</v>
      </c>
      <c r="E40" s="9" t="s">
        <v>99</v>
      </c>
    </row>
    <row r="41" spans="1:5" ht="64" x14ac:dyDescent="0.2">
      <c r="A41" s="9" t="s">
        <v>364</v>
      </c>
      <c r="B41" s="9" t="s">
        <v>135</v>
      </c>
      <c r="C41" s="9" t="s">
        <v>136</v>
      </c>
      <c r="D41" s="9" t="str" cm="1">
        <f t="array" ref="D41">IF(E41="","",_xlfn.LET(
    _xlpm.text,E41,
    _xlpm.split,_xlfn.TEXTSPLIT(_xlpm.text,", "),
    _xlpm.ids,_xlfn.MAP(_xlpm.split,_xlfn.LAMBDA(_xlpm.name,INDEX(Tactics!$A$2:$A$10,MATCH(TRIM(_xlpm.name),Tactics!$B$2:$B$10,0)))),
    _xlfn.TEXTJOIN(", ",TRUE,_xlpm.ids)
))</f>
        <v>FA0002</v>
      </c>
      <c r="E41" s="9" t="s">
        <v>111</v>
      </c>
    </row>
    <row r="42" spans="1:5" ht="80" x14ac:dyDescent="0.2">
      <c r="A42" s="9" t="s">
        <v>365</v>
      </c>
      <c r="B42" s="9" t="s">
        <v>138</v>
      </c>
      <c r="C42" s="9" t="s">
        <v>139</v>
      </c>
      <c r="D42" s="9" t="str" cm="1">
        <f t="array" ref="D42">IF(E42="","",_xlfn.LET(
    _xlpm.text,E42,
    _xlpm.split,_xlfn.TEXTSPLIT(_xlpm.text,", "),
    _xlpm.ids,_xlfn.MAP(_xlpm.split,_xlfn.LAMBDA(_xlpm.name,INDEX(Tactics!$A$2:$A$10,MATCH(TRIM(_xlpm.name),Tactics!$B$2:$B$10,0)))),
    _xlfn.TEXTJOIN(", ",TRUE,_xlpm.ids)
))</f>
        <v>FA0001, TA0043</v>
      </c>
      <c r="E42" s="9" t="s">
        <v>140</v>
      </c>
    </row>
    <row r="43" spans="1:5" ht="288" x14ac:dyDescent="0.2">
      <c r="A43" s="9" t="s">
        <v>115</v>
      </c>
      <c r="B43" s="9" t="s">
        <v>116</v>
      </c>
      <c r="C43" s="9" t="s">
        <v>117</v>
      </c>
      <c r="D43" s="9" t="str" cm="1">
        <f t="array" ref="D43">IF(E43="","",_xlfn.LET(
    _xlpm.text,E43,
    _xlpm.split,_xlfn.TEXTSPLIT(_xlpm.text,", "),
    _xlpm.ids,_xlfn.MAP(_xlpm.split,_xlfn.LAMBDA(_xlpm.name,INDEX(Tactics!$A$2:$A$10,MATCH(TRIM(_xlpm.name),Tactics!$B$2:$B$10,0)))),
    _xlfn.TEXTJOIN(", ",TRUE,_xlpm.ids)
))</f>
        <v>TA0001, FA0001</v>
      </c>
      <c r="E43" s="9" t="s">
        <v>118</v>
      </c>
    </row>
    <row r="44" spans="1:5" ht="256" x14ac:dyDescent="0.2">
      <c r="A44" s="9" t="s">
        <v>119</v>
      </c>
      <c r="B44" s="9" t="s">
        <v>120</v>
      </c>
      <c r="C44" s="9" t="s">
        <v>121</v>
      </c>
      <c r="D44" s="9" t="str" cm="1">
        <f t="array" ref="D44">IF(E44="","",_xlfn.LET(
    _xlpm.text,E44,
    _xlpm.split,_xlfn.TEXTSPLIT(_xlpm.text,", "),
    _xlpm.ids,_xlfn.MAP(_xlpm.split,_xlfn.LAMBDA(_xlpm.name,INDEX(Tactics!$A$2:$A$10,MATCH(TRIM(_xlpm.name),Tactics!$B$2:$B$10,0)))),
    _xlfn.TEXTJOIN(", ",TRUE,_xlpm.ids)
))</f>
        <v>TA0001</v>
      </c>
      <c r="E44" s="9" t="s">
        <v>26</v>
      </c>
    </row>
    <row r="45" spans="1:5" ht="160" x14ac:dyDescent="0.2">
      <c r="A45" s="9" t="s">
        <v>122</v>
      </c>
      <c r="B45" s="9" t="s">
        <v>123</v>
      </c>
      <c r="C45" s="9" t="s">
        <v>124</v>
      </c>
      <c r="D45" s="9" t="str" cm="1">
        <f t="array" ref="D45">IF(E45="","",_xlfn.LET(
    _xlpm.text,E45,
    _xlpm.split,_xlfn.TEXTSPLIT(_xlpm.text,", "),
    _xlpm.ids,_xlfn.MAP(_xlpm.split,_xlfn.LAMBDA(_xlpm.name,INDEX(Tactics!$A$2:$A$10,MATCH(TRIM(_xlpm.name),Tactics!$B$2:$B$10,0)))),
    _xlfn.TEXTJOIN(", ",TRUE,_xlpm.ids)
))</f>
        <v>TA0001</v>
      </c>
      <c r="E45" s="9" t="s">
        <v>26</v>
      </c>
    </row>
    <row r="46" spans="1:5" ht="192" x14ac:dyDescent="0.2">
      <c r="A46" s="9" t="s">
        <v>125</v>
      </c>
      <c r="B46" s="9" t="s">
        <v>126</v>
      </c>
      <c r="C46" s="9" t="s">
        <v>127</v>
      </c>
      <c r="D46" s="9" t="str" cm="1">
        <f t="array" ref="D46">IF(E46="","",_xlfn.LET(
    _xlpm.text,E46,
    _xlpm.split,_xlfn.TEXTSPLIT(_xlpm.text,", "),
    _xlpm.ids,_xlfn.MAP(_xlpm.split,_xlfn.LAMBDA(_xlpm.name,INDEX(Tactics!$A$2:$A$10,MATCH(TRIM(_xlpm.name),Tactics!$B$2:$B$10,0)))),
    _xlfn.TEXTJOIN(", ",TRUE,_xlpm.ids)
))</f>
        <v>TA0001</v>
      </c>
      <c r="E46" s="9" t="s">
        <v>26</v>
      </c>
    </row>
    <row r="47" spans="1:5" ht="160" x14ac:dyDescent="0.2">
      <c r="A47" s="9" t="s">
        <v>128</v>
      </c>
      <c r="B47" s="9" t="s">
        <v>129</v>
      </c>
      <c r="C47" s="9" t="s">
        <v>130</v>
      </c>
      <c r="D47" s="9" t="str" cm="1">
        <f t="array" ref="D47">IF(E47="","",_xlfn.LET(
    _xlpm.text,E47,
    _xlpm.split,_xlfn.TEXTSPLIT(_xlpm.text,", "),
    _xlpm.ids,_xlfn.MAP(_xlpm.split,_xlfn.LAMBDA(_xlpm.name,INDEX(Tactics!$A$2:$A$10,MATCH(TRIM(_xlpm.name),Tactics!$B$2:$B$10,0)))),
    _xlfn.TEXTJOIN(", ",TRUE,_xlpm.ids)
))</f>
        <v>TA0001</v>
      </c>
      <c r="E47" s="9" t="s">
        <v>26</v>
      </c>
    </row>
    <row r="48" spans="1:5" ht="208" x14ac:dyDescent="0.2">
      <c r="A48" s="9" t="s">
        <v>131</v>
      </c>
      <c r="B48" s="9" t="s">
        <v>132</v>
      </c>
      <c r="C48" s="9" t="s">
        <v>133</v>
      </c>
      <c r="D48" s="9" t="str" cm="1">
        <f t="array" ref="D48">IF(E48="","",_xlfn.LET(
    _xlpm.text,E48,
    _xlpm.split,_xlfn.TEXTSPLIT(_xlpm.text,", "),
    _xlpm.ids,_xlfn.MAP(_xlpm.split,_xlfn.LAMBDA(_xlpm.name,INDEX(Tactics!$A$2:$A$10,MATCH(TRIM(_xlpm.name),Tactics!$B$2:$B$10,0)))),
    _xlfn.TEXTJOIN(", ",TRUE,_xlpm.ids)
))</f>
        <v>TA0001</v>
      </c>
      <c r="E48" s="9" t="s">
        <v>26</v>
      </c>
    </row>
    <row r="49" spans="1:5" ht="80" x14ac:dyDescent="0.2">
      <c r="A49" s="9" t="s">
        <v>366</v>
      </c>
      <c r="B49" s="9" t="s">
        <v>142</v>
      </c>
      <c r="C49" s="9" t="s">
        <v>143</v>
      </c>
      <c r="D49" s="9" t="str" cm="1">
        <f t="array" ref="D49">IF(E49="","",_xlfn.LET(
    _xlpm.text,E49,
    _xlpm.split,_xlfn.TEXTSPLIT(_xlpm.text,", "),
    _xlpm.ids,_xlfn.MAP(_xlpm.split,_xlfn.LAMBDA(_xlpm.name,INDEX(Tactics!$A$2:$A$10,MATCH(TRIM(_xlpm.name),Tactics!$B$2:$B$10,0)))),
    _xlfn.TEXTJOIN(", ",TRUE,_xlpm.ids)
))</f>
        <v>FA0001</v>
      </c>
      <c r="E49" s="9" t="s">
        <v>10</v>
      </c>
    </row>
    <row r="50" spans="1:5" ht="96" x14ac:dyDescent="0.2">
      <c r="A50" s="9" t="s">
        <v>367</v>
      </c>
      <c r="B50" s="9" t="s">
        <v>144</v>
      </c>
      <c r="C50" s="9" t="s">
        <v>145</v>
      </c>
      <c r="D50" s="9" t="str" cm="1">
        <f t="array" ref="D50">IF(E50="","",_xlfn.LET(
    _xlpm.text,E50,
    _xlpm.split,_xlfn.TEXTSPLIT(_xlpm.text,", "),
    _xlpm.ids,_xlfn.MAP(_xlpm.split,_xlfn.LAMBDA(_xlpm.name,INDEX(Tactics!$A$2:$A$10,MATCH(TRIM(_xlpm.name),Tactics!$B$2:$B$10,0)))),
    _xlfn.TEXTJOIN(", ",TRUE,_xlpm.ids)
))</f>
        <v>FA0001</v>
      </c>
      <c r="E50" s="9" t="s">
        <v>10</v>
      </c>
    </row>
    <row r="51" spans="1:5" ht="64" x14ac:dyDescent="0.2">
      <c r="A51" s="9" t="s">
        <v>368</v>
      </c>
      <c r="B51" s="9" t="s">
        <v>148</v>
      </c>
      <c r="C51" s="9" t="s">
        <v>149</v>
      </c>
      <c r="D51" s="9" t="str" cm="1">
        <f t="array" ref="D51">IF(E51="","",_xlfn.LET(
    _xlpm.text,E51,
    _xlpm.split,_xlfn.TEXTSPLIT(_xlpm.text,", "),
    _xlpm.ids,_xlfn.MAP(_xlpm.split,_xlfn.LAMBDA(_xlpm.name,INDEX(Tactics!$A$2:$A$10,MATCH(TRIM(_xlpm.name),Tactics!$B$2:$B$10,0)))),
    _xlfn.TEXTJOIN(", ",TRUE,_xlpm.ids)
))</f>
        <v>TA0002</v>
      </c>
      <c r="E51" s="9" t="s">
        <v>22</v>
      </c>
    </row>
    <row r="52" spans="1:5" ht="208" x14ac:dyDescent="0.2">
      <c r="A52" s="9" t="s">
        <v>369</v>
      </c>
      <c r="B52" s="9" t="s">
        <v>150</v>
      </c>
      <c r="C52" s="9" t="s">
        <v>151</v>
      </c>
      <c r="D52" s="9" t="str" cm="1">
        <f t="array" ref="D52">IF(E52="","",_xlfn.LET(
    _xlpm.text,E52,
    _xlpm.split,_xlfn.TEXTSPLIT(_xlpm.text,", "),
    _xlpm.ids,_xlfn.MAP(_xlpm.split,_xlfn.LAMBDA(_xlpm.name,INDEX(Tactics!$A$2:$A$10,MATCH(TRIM(_xlpm.name),Tactics!$B$2:$B$10,0)))),
    _xlfn.TEXTJOIN(", ",TRUE,_xlpm.ids)
))</f>
        <v>TA0002</v>
      </c>
      <c r="E52" s="9" t="s">
        <v>22</v>
      </c>
    </row>
    <row r="53" spans="1:5" ht="176" x14ac:dyDescent="0.2">
      <c r="A53" s="9" t="s">
        <v>370</v>
      </c>
      <c r="B53" s="9" t="s">
        <v>167</v>
      </c>
      <c r="C53" s="9" t="s">
        <v>168</v>
      </c>
      <c r="D53" s="9" t="str" cm="1">
        <f t="array" ref="D53">IF(E53="","",_xlfn.LET(
    _xlpm.text,E53,
    _xlpm.split,_xlfn.TEXTSPLIT(_xlpm.text,", "),
    _xlpm.ids,_xlfn.MAP(_xlpm.split,_xlfn.LAMBDA(_xlpm.name,INDEX(Tactics!$A$2:$A$10,MATCH(TRIM(_xlpm.name),Tactics!$B$2:$B$10,0)))),
    _xlfn.TEXTJOIN(", ",TRUE,_xlpm.ids)
))</f>
        <v>TA0001</v>
      </c>
      <c r="E53" s="9" t="s">
        <v>26</v>
      </c>
    </row>
    <row r="54" spans="1:5" ht="64" x14ac:dyDescent="0.2">
      <c r="A54" s="9" t="s">
        <v>371</v>
      </c>
      <c r="B54" s="9" t="s">
        <v>313</v>
      </c>
      <c r="C54" s="9" t="s">
        <v>314</v>
      </c>
      <c r="D54" s="9" t="str" cm="1">
        <f t="array" ref="D54">IF(E54="","",_xlfn.LET(
    _xlpm.text,E54,
    _xlpm.split,_xlfn.TEXTSPLIT(_xlpm.text,", "),
    _xlpm.ids,_xlfn.MAP(_xlpm.split,_xlfn.LAMBDA(_xlpm.name,INDEX(Tactics!$A$2:$A$10,MATCH(TRIM(_xlpm.name),Tactics!$B$2:$B$10,0)))),
    _xlfn.TEXTJOIN(", ",TRUE,_xlpm.ids)
))</f>
        <v>FA0002</v>
      </c>
      <c r="E54" s="9" t="s">
        <v>111</v>
      </c>
    </row>
    <row r="55" spans="1:5" ht="80" x14ac:dyDescent="0.2">
      <c r="A55" s="9" t="s">
        <v>372</v>
      </c>
      <c r="B55" s="9" t="s">
        <v>315</v>
      </c>
      <c r="C55" s="9" t="s">
        <v>316</v>
      </c>
      <c r="D55" s="9" t="str" cm="1">
        <f t="array" ref="D55">IF(E55="","",_xlfn.LET(
    _xlpm.text,E55,
    _xlpm.split,_xlfn.TEXTSPLIT(_xlpm.text,", "),
    _xlpm.ids,_xlfn.MAP(_xlpm.split,_xlfn.LAMBDA(_xlpm.name,INDEX(Tactics!$A$2:$A$10,MATCH(TRIM(_xlpm.name),Tactics!$B$2:$B$10,0)))),
    _xlfn.TEXTJOIN(", ",TRUE,_xlpm.ids)
))</f>
        <v>FA0002</v>
      </c>
      <c r="E55" s="9" t="s">
        <v>111</v>
      </c>
    </row>
    <row r="56" spans="1:5" ht="288" x14ac:dyDescent="0.2">
      <c r="A56" s="9" t="s">
        <v>152</v>
      </c>
      <c r="B56" s="9" t="s">
        <v>153</v>
      </c>
      <c r="C56" s="9" t="s">
        <v>154</v>
      </c>
      <c r="D56" s="9" t="str" cm="1">
        <f t="array" ref="D56">IF(E56="","",_xlfn.LET(
    _xlpm.text,E56,
    _xlpm.split,_xlfn.TEXTSPLIT(_xlpm.text,", "),
    _xlpm.ids,_xlfn.MAP(_xlpm.split,_xlfn.LAMBDA(_xlpm.name,INDEX(Tactics!$A$2:$A$10,MATCH(TRIM(_xlpm.name),Tactics!$B$2:$B$10,0)))),
    _xlfn.TEXTJOIN(", ",TRUE,_xlpm.ids)
))</f>
        <v>TA0042</v>
      </c>
      <c r="E56" s="9" t="s">
        <v>63</v>
      </c>
    </row>
    <row r="57" spans="1:5" ht="272" x14ac:dyDescent="0.2">
      <c r="A57" s="9" t="s">
        <v>155</v>
      </c>
      <c r="B57" s="9" t="s">
        <v>156</v>
      </c>
      <c r="C57" s="9" t="s">
        <v>157</v>
      </c>
      <c r="D57" s="9" t="str" cm="1">
        <f t="array" ref="D57">IF(E57="","",_xlfn.LET(
    _xlpm.text,E57,
    _xlpm.split,_xlfn.TEXTSPLIT(_xlpm.text,", "),
    _xlpm.ids,_xlfn.MAP(_xlpm.split,_xlfn.LAMBDA(_xlpm.name,INDEX(Tactics!$A$2:$A$10,MATCH(TRIM(_xlpm.name),Tactics!$B$2:$B$10,0)))),
    _xlfn.TEXTJOIN(", ",TRUE,_xlpm.ids)
))</f>
        <v>TA0042</v>
      </c>
      <c r="E57" s="9" t="s">
        <v>63</v>
      </c>
    </row>
    <row r="58" spans="1:5" ht="304" x14ac:dyDescent="0.2">
      <c r="A58" s="9" t="s">
        <v>158</v>
      </c>
      <c r="B58" s="9" t="s">
        <v>159</v>
      </c>
      <c r="C58" s="9" t="s">
        <v>160</v>
      </c>
      <c r="D58" s="9" t="str" cm="1">
        <f t="array" ref="D58">IF(E58="","",_xlfn.LET(
    _xlpm.text,E58,
    _xlpm.split,_xlfn.TEXTSPLIT(_xlpm.text,", "),
    _xlpm.ids,_xlfn.MAP(_xlpm.split,_xlfn.LAMBDA(_xlpm.name,INDEX(Tactics!$A$2:$A$10,MATCH(TRIM(_xlpm.name),Tactics!$B$2:$B$10,0)))),
    _xlfn.TEXTJOIN(", ",TRUE,_xlpm.ids)
))</f>
        <v>TA0042</v>
      </c>
      <c r="E58" s="9" t="s">
        <v>63</v>
      </c>
    </row>
    <row r="59" spans="1:5" ht="272" x14ac:dyDescent="0.2">
      <c r="A59" s="9" t="s">
        <v>161</v>
      </c>
      <c r="B59" s="9" t="s">
        <v>162</v>
      </c>
      <c r="C59" s="9" t="s">
        <v>163</v>
      </c>
      <c r="D59" s="9" t="str" cm="1">
        <f t="array" ref="D59">IF(E59="","",_xlfn.LET(
    _xlpm.text,E59,
    _xlpm.split,_xlfn.TEXTSPLIT(_xlpm.text,", "),
    _xlpm.ids,_xlfn.MAP(_xlpm.split,_xlfn.LAMBDA(_xlpm.name,INDEX(Tactics!$A$2:$A$10,MATCH(TRIM(_xlpm.name),Tactics!$B$2:$B$10,0)))),
    _xlfn.TEXTJOIN(", ",TRUE,_xlpm.ids)
))</f>
        <v>TA0042</v>
      </c>
      <c r="E59" s="9" t="s">
        <v>63</v>
      </c>
    </row>
    <row r="60" spans="1:5" ht="335" x14ac:dyDescent="0.2">
      <c r="A60" s="9" t="s">
        <v>164</v>
      </c>
      <c r="B60" s="9" t="s">
        <v>165</v>
      </c>
      <c r="C60" s="9" t="s">
        <v>166</v>
      </c>
      <c r="D60" s="9" t="str" cm="1">
        <f t="array" ref="D60">IF(E60="","",_xlfn.LET(
    _xlpm.text,E60,
    _xlpm.split,_xlfn.TEXTSPLIT(_xlpm.text,", "),
    _xlpm.ids,_xlfn.MAP(_xlpm.split,_xlfn.LAMBDA(_xlpm.name,INDEX(Tactics!$A$2:$A$10,MATCH(TRIM(_xlpm.name),Tactics!$B$2:$B$10,0)))),
    _xlfn.TEXTJOIN(", ",TRUE,_xlpm.ids)
))</f>
        <v>TA0042</v>
      </c>
      <c r="E60" s="9" t="s">
        <v>63</v>
      </c>
    </row>
    <row r="61" spans="1:5" ht="64" x14ac:dyDescent="0.2">
      <c r="A61" s="9" t="s">
        <v>373</v>
      </c>
      <c r="B61" s="9" t="s">
        <v>317</v>
      </c>
      <c r="C61" s="9" t="s">
        <v>318</v>
      </c>
      <c r="D61" s="9" t="str" cm="1">
        <f t="array" ref="D61">IF(E61="","",_xlfn.LET(
    _xlpm.text,E61,
    _xlpm.split,_xlfn.TEXTSPLIT(_xlpm.text,", "),
    _xlpm.ids,_xlfn.MAP(_xlpm.split,_xlfn.LAMBDA(_xlpm.name,INDEX(Tactics!$A$2:$A$10,MATCH(TRIM(_xlpm.name),Tactics!$B$2:$B$10,0)))),
    _xlfn.TEXTJOIN(", ",TRUE,_xlpm.ids)
))</f>
        <v>FA0002</v>
      </c>
      <c r="E61" s="9" t="s">
        <v>111</v>
      </c>
    </row>
    <row r="62" spans="1:5" ht="64" x14ac:dyDescent="0.2">
      <c r="A62" s="9" t="s">
        <v>374</v>
      </c>
      <c r="B62" s="9" t="s">
        <v>319</v>
      </c>
      <c r="C62" s="9" t="s">
        <v>320</v>
      </c>
      <c r="D62" s="9" t="str" cm="1">
        <f t="array" ref="D62">IF(E62="","",_xlfn.LET(
    _xlpm.text,E62,
    _xlpm.split,_xlfn.TEXTSPLIT(_xlpm.text,", "),
    _xlpm.ids,_xlfn.MAP(_xlpm.split,_xlfn.LAMBDA(_xlpm.name,INDEX(Tactics!$A$2:$A$10,MATCH(TRIM(_xlpm.name),Tactics!$B$2:$B$10,0)))),
    _xlfn.TEXTJOIN(", ",TRUE,_xlpm.ids)
))</f>
        <v>FA0002</v>
      </c>
      <c r="E62" s="9" t="s">
        <v>111</v>
      </c>
    </row>
    <row r="63" spans="1:5" ht="64" x14ac:dyDescent="0.2">
      <c r="A63" s="9" t="s">
        <v>51</v>
      </c>
      <c r="B63" s="9" t="s">
        <v>170</v>
      </c>
      <c r="C63" s="9" t="s">
        <v>171</v>
      </c>
      <c r="D63" s="9" t="str" cm="1">
        <f t="array" ref="D63">IF(E63="","",_xlfn.LET(
    _xlpm.text,E63,
    _xlpm.split,_xlfn.TEXTSPLIT(_xlpm.text,", "),
    _xlpm.ids,_xlfn.MAP(_xlpm.split,_xlfn.LAMBDA(_xlpm.name,INDEX(Tactics!$A$2:$A$10,MATCH(TRIM(_xlpm.name),Tactics!$B$2:$B$10,0)))),
    _xlfn.TEXTJOIN(", ",TRUE,_xlpm.ids)
))</f>
        <v>FA0002</v>
      </c>
      <c r="E63" s="9" t="s">
        <v>111</v>
      </c>
    </row>
    <row r="64" spans="1:5" ht="64" x14ac:dyDescent="0.2">
      <c r="A64" s="9" t="s">
        <v>375</v>
      </c>
      <c r="B64" s="9" t="s">
        <v>172</v>
      </c>
      <c r="C64" s="9" t="s">
        <v>173</v>
      </c>
      <c r="D64" s="9" t="str" cm="1">
        <f t="array" ref="D64">IF(E64="","",_xlfn.LET(
    _xlpm.text,E64,
    _xlpm.split,_xlfn.TEXTSPLIT(_xlpm.text,", "),
    _xlpm.ids,_xlfn.MAP(_xlpm.split,_xlfn.LAMBDA(_xlpm.name,INDEX(Tactics!$A$2:$A$10,MATCH(TRIM(_xlpm.name),Tactics!$B$2:$B$10,0)))),
    _xlfn.TEXTJOIN(", ",TRUE,_xlpm.ids)
))</f>
        <v>TA0042</v>
      </c>
      <c r="E64" s="9" t="s">
        <v>63</v>
      </c>
    </row>
    <row r="65" spans="1:5" ht="80" x14ac:dyDescent="0.2">
      <c r="A65" s="9" t="s">
        <v>376</v>
      </c>
      <c r="B65" s="9" t="s">
        <v>174</v>
      </c>
      <c r="C65" s="9" t="s">
        <v>175</v>
      </c>
      <c r="D65" s="9" t="str" cm="1">
        <f t="array" ref="D65">IF(E65="","",_xlfn.LET(
    _xlpm.text,E65,
    _xlpm.split,_xlfn.TEXTSPLIT(_xlpm.text,", "),
    _xlpm.ids,_xlfn.MAP(_xlpm.split,_xlfn.LAMBDA(_xlpm.name,INDEX(Tactics!$A$2:$A$10,MATCH(TRIM(_xlpm.name),Tactics!$B$2:$B$10,0)))),
    _xlfn.TEXTJOIN(", ",TRUE,_xlpm.ids)
))</f>
        <v>TA0042</v>
      </c>
      <c r="E65" s="9" t="s">
        <v>63</v>
      </c>
    </row>
    <row r="66" spans="1:5" ht="112" x14ac:dyDescent="0.2">
      <c r="A66" s="9" t="s">
        <v>377</v>
      </c>
      <c r="B66" s="9" t="s">
        <v>176</v>
      </c>
      <c r="C66" s="9" t="s">
        <v>177</v>
      </c>
      <c r="D66" s="9" t="str" cm="1">
        <f t="array" ref="D66">IF(E66="","",_xlfn.LET(
    _xlpm.text,E66,
    _xlpm.split,_xlfn.TEXTSPLIT(_xlpm.text,", "),
    _xlpm.ids,_xlfn.MAP(_xlpm.split,_xlfn.LAMBDA(_xlpm.name,INDEX(Tactics!$A$2:$A$10,MATCH(TRIM(_xlpm.name),Tactics!$B$2:$B$10,0)))),
    _xlfn.TEXTJOIN(", ",TRUE,_xlpm.ids)
))</f>
        <v>TA0042</v>
      </c>
      <c r="E66" s="9" t="s">
        <v>63</v>
      </c>
    </row>
    <row r="67" spans="1:5" ht="96" x14ac:dyDescent="0.2">
      <c r="A67" s="9" t="s">
        <v>180</v>
      </c>
      <c r="B67" s="9" t="s">
        <v>181</v>
      </c>
      <c r="C67" s="9" t="s">
        <v>182</v>
      </c>
      <c r="D67" s="9" t="str" cm="1">
        <f t="array" ref="D67">IF(E67="","",_xlfn.LET(
    _xlpm.text,E67,
    _xlpm.split,_xlfn.TEXTSPLIT(_xlpm.text,", "),
    _xlpm.ids,_xlfn.MAP(_xlpm.split,_xlfn.LAMBDA(_xlpm.name,INDEX(Tactics!$A$2:$A$10,MATCH(TRIM(_xlpm.name),Tactics!$B$2:$B$10,0)))),
    _xlfn.TEXTJOIN(", ",TRUE,_xlpm.ids)
))</f>
        <v>TA0043</v>
      </c>
      <c r="E67" s="9" t="s">
        <v>183</v>
      </c>
    </row>
    <row r="68" spans="1:5" ht="64" x14ac:dyDescent="0.2">
      <c r="A68" s="9" t="s">
        <v>184</v>
      </c>
      <c r="B68" s="9" t="s">
        <v>185</v>
      </c>
      <c r="C68" s="9" t="s">
        <v>186</v>
      </c>
      <c r="D68" s="9" t="str" cm="1">
        <f t="array" ref="D68">IF(E68="","",_xlfn.LET(
    _xlpm.text,E68,
    _xlpm.split,_xlfn.TEXTSPLIT(_xlpm.text,", "),
    _xlpm.ids,_xlfn.MAP(_xlpm.split,_xlfn.LAMBDA(_xlpm.name,INDEX(Tactics!$A$2:$A$10,MATCH(TRIM(_xlpm.name),Tactics!$B$2:$B$10,0)))),
    _xlfn.TEXTJOIN(", ",TRUE,_xlpm.ids)
))</f>
        <v>TA0043</v>
      </c>
      <c r="E68" s="9" t="s">
        <v>183</v>
      </c>
    </row>
    <row r="69" spans="1:5" ht="80" x14ac:dyDescent="0.2">
      <c r="A69" s="9" t="s">
        <v>187</v>
      </c>
      <c r="B69" s="9" t="s">
        <v>188</v>
      </c>
      <c r="C69" s="9" t="s">
        <v>189</v>
      </c>
      <c r="D69" s="9" t="str" cm="1">
        <f t="array" ref="D69">IF(E69="","",_xlfn.LET(
    _xlpm.text,E69,
    _xlpm.split,_xlfn.TEXTSPLIT(_xlpm.text,", "),
    _xlpm.ids,_xlfn.MAP(_xlpm.split,_xlfn.LAMBDA(_xlpm.name,INDEX(Tactics!$A$2:$A$10,MATCH(TRIM(_xlpm.name),Tactics!$B$2:$B$10,0)))),
    _xlfn.TEXTJOIN(", ",TRUE,_xlpm.ids)
))</f>
        <v>TA0043</v>
      </c>
      <c r="E69" s="9" t="s">
        <v>183</v>
      </c>
    </row>
    <row r="70" spans="1:5" ht="160" x14ac:dyDescent="0.2">
      <c r="A70" s="9" t="s">
        <v>378</v>
      </c>
      <c r="B70" s="9" t="s">
        <v>178</v>
      </c>
      <c r="C70" s="9" t="s">
        <v>179</v>
      </c>
      <c r="D70" s="9" t="str" cm="1">
        <f t="array" ref="D70">IF(E70="","",_xlfn.LET(
    _xlpm.text,E70,
    _xlpm.split,_xlfn.TEXTSPLIT(_xlpm.text,", "),
    _xlpm.ids,_xlfn.MAP(_xlpm.split,_xlfn.LAMBDA(_xlpm.name,INDEX(Tactics!$A$2:$A$10,MATCH(TRIM(_xlpm.name),Tactics!$B$2:$B$10,0)))),
    _xlfn.TEXTJOIN(", ",TRUE,_xlpm.ids)
))</f>
        <v>TA0042</v>
      </c>
      <c r="E70" s="9" t="s">
        <v>63</v>
      </c>
    </row>
    <row r="71" spans="1:5" ht="160" x14ac:dyDescent="0.2">
      <c r="A71" s="9" t="s">
        <v>379</v>
      </c>
      <c r="B71" s="9" t="s">
        <v>225</v>
      </c>
      <c r="C71" s="9" t="s">
        <v>226</v>
      </c>
      <c r="D71" s="9" t="str" cm="1">
        <f t="array" ref="D71">IF(E71="","",_xlfn.LET(
    _xlpm.text,E71,
    _xlpm.split,_xlfn.TEXTSPLIT(_xlpm.text,", "),
    _xlpm.ids,_xlfn.MAP(_xlpm.split,_xlfn.LAMBDA(_xlpm.name,INDEX(Tactics!$A$2:$A$10,MATCH(TRIM(_xlpm.name),Tactics!$B$2:$B$10,0)))),
    _xlfn.TEXTJOIN(", ",TRUE,_xlpm.ids)
))</f>
        <v>TA0042</v>
      </c>
      <c r="E71" s="9" t="s">
        <v>63</v>
      </c>
    </row>
    <row r="72" spans="1:5" ht="272" x14ac:dyDescent="0.2">
      <c r="A72" s="9" t="s">
        <v>194</v>
      </c>
      <c r="B72" s="9" t="s">
        <v>195</v>
      </c>
      <c r="C72" s="9" t="s">
        <v>196</v>
      </c>
      <c r="D72" s="9" t="str" cm="1">
        <f t="array" ref="D72">IF(E72="","",_xlfn.LET(
    _xlpm.text,E72,
    _xlpm.split,_xlfn.TEXTSPLIT(_xlpm.text,", "),
    _xlpm.ids,_xlfn.MAP(_xlpm.split,_xlfn.LAMBDA(_xlpm.name,INDEX(Tactics!$A$2:$A$10,MATCH(TRIM(_xlpm.name),Tactics!$B$2:$B$10,0)))),
    _xlfn.TEXTJOIN(", ",TRUE,_xlpm.ids)
))</f>
        <v>TA0001</v>
      </c>
      <c r="E72" s="9" t="s">
        <v>26</v>
      </c>
    </row>
    <row r="73" spans="1:5" ht="176" x14ac:dyDescent="0.2">
      <c r="A73" s="9" t="s">
        <v>197</v>
      </c>
      <c r="B73" s="9" t="s">
        <v>198</v>
      </c>
      <c r="C73" s="9" t="s">
        <v>199</v>
      </c>
      <c r="D73" s="9" t="str" cm="1">
        <f t="array" ref="D73">IF(E73="","",_xlfn.LET(
    _xlpm.text,E73,
    _xlpm.split,_xlfn.TEXTSPLIT(_xlpm.text,", "),
    _xlpm.ids,_xlfn.MAP(_xlpm.split,_xlfn.LAMBDA(_xlpm.name,INDEX(Tactics!$A$2:$A$10,MATCH(TRIM(_xlpm.name),Tactics!$B$2:$B$10,0)))),
    _xlfn.TEXTJOIN(", ",TRUE,_xlpm.ids)
))</f>
        <v>TA0112</v>
      </c>
      <c r="E73" s="9" t="s">
        <v>402</v>
      </c>
    </row>
    <row r="74" spans="1:5" ht="160" x14ac:dyDescent="0.2">
      <c r="A74" s="9" t="s">
        <v>200</v>
      </c>
      <c r="B74" s="9" t="s">
        <v>201</v>
      </c>
      <c r="C74" s="9" t="s">
        <v>202</v>
      </c>
      <c r="D74" s="9" t="str" cm="1">
        <f t="array" ref="D74">IF(E74="","",_xlfn.LET(
    _xlpm.text,E74,
    _xlpm.split,_xlfn.TEXTSPLIT(_xlpm.text,", "),
    _xlpm.ids,_xlfn.MAP(_xlpm.split,_xlfn.LAMBDA(_xlpm.name,INDEX(Tactics!$A$2:$A$10,MATCH(TRIM(_xlpm.name),Tactics!$B$2:$B$10,0)))),
    _xlfn.TEXTJOIN(", ",TRUE,_xlpm.ids)
))</f>
        <v>TA0005</v>
      </c>
      <c r="E74" s="9" t="s">
        <v>401</v>
      </c>
    </row>
    <row r="75" spans="1:5" ht="288" x14ac:dyDescent="0.2">
      <c r="A75" s="9" t="s">
        <v>203</v>
      </c>
      <c r="B75" s="9" t="s">
        <v>204</v>
      </c>
      <c r="C75" s="9" t="s">
        <v>205</v>
      </c>
      <c r="D75" s="9" t="str" cm="1">
        <f t="array" ref="D75">IF(E75="","",_xlfn.LET(
    _xlpm.text,E75,
    _xlpm.split,_xlfn.TEXTSPLIT(_xlpm.text,", "),
    _xlpm.ids,_xlfn.MAP(_xlpm.split,_xlfn.LAMBDA(_xlpm.name,INDEX(Tactics!$A$2:$A$10,MATCH(TRIM(_xlpm.name),Tactics!$B$2:$B$10,0)))),
    _xlfn.TEXTJOIN(", ",TRUE,_xlpm.ids)
))</f>
        <v>TA0042</v>
      </c>
      <c r="E75" s="9" t="s">
        <v>63</v>
      </c>
    </row>
    <row r="76" spans="1:5" ht="80" x14ac:dyDescent="0.2">
      <c r="A76" s="9" t="s">
        <v>380</v>
      </c>
      <c r="B76" s="9" t="s">
        <v>190</v>
      </c>
      <c r="C76" s="9" t="s">
        <v>191</v>
      </c>
      <c r="D76" s="9" t="str" cm="1">
        <f t="array" ref="D76">IF(E76="","",_xlfn.LET(
    _xlpm.text,E76,
    _xlpm.split,_xlfn.TEXTSPLIT(_xlpm.text,", "),
    _xlpm.ids,_xlfn.MAP(_xlpm.split,_xlfn.LAMBDA(_xlpm.name,INDEX(Tactics!$A$2:$A$10,MATCH(TRIM(_xlpm.name),Tactics!$B$2:$B$10,0)))),
    _xlfn.TEXTJOIN(", ",TRUE,_xlpm.ids)
))</f>
        <v>TA0005</v>
      </c>
      <c r="E76" s="9" t="s">
        <v>401</v>
      </c>
    </row>
    <row r="77" spans="1:5" ht="96" x14ac:dyDescent="0.2">
      <c r="A77" s="9" t="s">
        <v>76</v>
      </c>
      <c r="B77" s="9" t="s">
        <v>192</v>
      </c>
      <c r="C77" s="9" t="s">
        <v>193</v>
      </c>
      <c r="D77" s="9" t="str" cm="1">
        <f t="array" ref="D77">IF(E77="","",_xlfn.LET(
    _xlpm.text,E77,
    _xlpm.split,_xlfn.TEXTSPLIT(_xlpm.text,", "),
    _xlpm.ids,_xlfn.MAP(_xlpm.split,_xlfn.LAMBDA(_xlpm.name,INDEX(Tactics!$A$2:$A$10,MATCH(TRIM(_xlpm.name),Tactics!$B$2:$B$10,0)))),
    _xlfn.TEXTJOIN(", ",TRUE,_xlpm.ids)
))</f>
        <v>TA0005</v>
      </c>
      <c r="E77" s="9" t="s">
        <v>401</v>
      </c>
    </row>
    <row r="78" spans="1:5" ht="64" x14ac:dyDescent="0.2">
      <c r="A78" s="9" t="s">
        <v>381</v>
      </c>
      <c r="B78" s="9" t="s">
        <v>146</v>
      </c>
      <c r="C78" s="9" t="s">
        <v>147</v>
      </c>
      <c r="D78" s="9" t="str" cm="1">
        <f t="array" ref="D78">IF(E78="","",_xlfn.LET(
    _xlpm.text,E78,
    _xlpm.split,_xlfn.TEXTSPLIT(_xlpm.text,", "),
    _xlpm.ids,_xlfn.MAP(_xlpm.split,_xlfn.LAMBDA(_xlpm.name,INDEX(Tactics!$A$2:$A$10,MATCH(TRIM(_xlpm.name),Tactics!$B$2:$B$10,0)))),
    _xlfn.TEXTJOIN(", ",TRUE,_xlpm.ids)
))</f>
        <v>TA0002</v>
      </c>
      <c r="E78" s="9" t="s">
        <v>22</v>
      </c>
    </row>
    <row r="79" spans="1:5" ht="192" x14ac:dyDescent="0.2">
      <c r="A79" s="9" t="s">
        <v>214</v>
      </c>
      <c r="B79" s="9" t="s">
        <v>215</v>
      </c>
      <c r="C79" s="9" t="s">
        <v>216</v>
      </c>
      <c r="D79" s="9" t="str" cm="1">
        <f t="array" ref="D79">IF(E79="","",_xlfn.LET(
    _xlpm.text,E79,
    _xlpm.split,_xlfn.TEXTSPLIT(_xlpm.text,", "),
    _xlpm.ids,_xlfn.MAP(_xlpm.split,_xlfn.LAMBDA(_xlpm.name,INDEX(Tactics!$A$2:$A$10,MATCH(TRIM(_xlpm.name),Tactics!$B$2:$B$10,0)))),
    _xlfn.TEXTJOIN(", ",TRUE,_xlpm.ids)
))</f>
        <v>TA0043</v>
      </c>
      <c r="E79" s="9" t="s">
        <v>183</v>
      </c>
    </row>
    <row r="80" spans="1:5" ht="176" x14ac:dyDescent="0.2">
      <c r="A80" s="9" t="s">
        <v>217</v>
      </c>
      <c r="B80" s="9" t="s">
        <v>218</v>
      </c>
      <c r="C80" s="9" t="s">
        <v>219</v>
      </c>
      <c r="D80" s="9" t="str" cm="1">
        <f t="array" ref="D80">IF(E80="","",_xlfn.LET(
    _xlpm.text,E80,
    _xlpm.split,_xlfn.TEXTSPLIT(_xlpm.text,", "),
    _xlpm.ids,_xlfn.MAP(_xlpm.split,_xlfn.LAMBDA(_xlpm.name,INDEX(Tactics!$A$2:$A$10,MATCH(TRIM(_xlpm.name),Tactics!$B$2:$B$10,0)))),
    _xlfn.TEXTJOIN(", ",TRUE,_xlpm.ids)
))</f>
        <v>TA0043</v>
      </c>
      <c r="E80" s="9" t="s">
        <v>183</v>
      </c>
    </row>
    <row r="81" spans="1:5" ht="176" x14ac:dyDescent="0.2">
      <c r="A81" s="9" t="s">
        <v>220</v>
      </c>
      <c r="B81" s="9" t="s">
        <v>221</v>
      </c>
      <c r="C81" s="9" t="s">
        <v>222</v>
      </c>
      <c r="D81" s="9" t="str" cm="1">
        <f t="array" ref="D81">IF(E81="","",_xlfn.LET(
    _xlpm.text,E81,
    _xlpm.split,_xlfn.TEXTSPLIT(_xlpm.text,", "),
    _xlpm.ids,_xlfn.MAP(_xlpm.split,_xlfn.LAMBDA(_xlpm.name,INDEX(Tactics!$A$2:$A$10,MATCH(TRIM(_xlpm.name),Tactics!$B$2:$B$10,0)))),
    _xlfn.TEXTJOIN(", ",TRUE,_xlpm.ids)
))</f>
        <v>TA0043</v>
      </c>
      <c r="E81" s="9" t="s">
        <v>183</v>
      </c>
    </row>
    <row r="82" spans="1:5" ht="48" x14ac:dyDescent="0.2">
      <c r="A82" s="9" t="s">
        <v>382</v>
      </c>
      <c r="B82" s="9" t="s">
        <v>304</v>
      </c>
      <c r="C82" s="9" t="s">
        <v>305</v>
      </c>
      <c r="D82" s="9" t="str" cm="1">
        <f t="array" ref="D82">IF(E82="","",_xlfn.LET(
    _xlpm.text,E82,
    _xlpm.split,_xlfn.TEXTSPLIT(_xlpm.text,", "),
    _xlpm.ids,_xlfn.MAP(_xlpm.split,_xlfn.LAMBDA(_xlpm.name,INDEX(Tactics!$A$2:$A$10,MATCH(TRIM(_xlpm.name),Tactics!$B$2:$B$10,0)))),
    _xlfn.TEXTJOIN(", ",TRUE,_xlpm.ids)
))</f>
        <v>FA0002</v>
      </c>
      <c r="E82" s="9" t="s">
        <v>111</v>
      </c>
    </row>
    <row r="83" spans="1:5" ht="80" x14ac:dyDescent="0.2">
      <c r="A83" s="9" t="s">
        <v>383</v>
      </c>
      <c r="B83" s="9" t="s">
        <v>306</v>
      </c>
      <c r="C83" s="9" t="s">
        <v>307</v>
      </c>
      <c r="D83" s="9" t="str" cm="1">
        <f t="array" ref="D83">IF(E83="","",_xlfn.LET(
    _xlpm.text,E83,
    _xlpm.split,_xlfn.TEXTSPLIT(_xlpm.text,", "),
    _xlpm.ids,_xlfn.MAP(_xlpm.split,_xlfn.LAMBDA(_xlpm.name,INDEX(Tactics!$A$2:$A$10,MATCH(TRIM(_xlpm.name),Tactics!$B$2:$B$10,0)))),
    _xlfn.TEXTJOIN(", ",TRUE,_xlpm.ids)
))</f>
        <v>FA0002</v>
      </c>
      <c r="E83" s="9" t="s">
        <v>111</v>
      </c>
    </row>
    <row r="84" spans="1:5" ht="64" x14ac:dyDescent="0.2">
      <c r="A84" s="9" t="s">
        <v>384</v>
      </c>
      <c r="B84" s="9" t="s">
        <v>308</v>
      </c>
      <c r="C84" s="9" t="s">
        <v>309</v>
      </c>
      <c r="D84" s="9" t="str" cm="1">
        <f t="array" ref="D84">IF(E84="","",_xlfn.LET(
    _xlpm.text,E84,
    _xlpm.split,_xlfn.TEXTSPLIT(_xlpm.text,", "),
    _xlpm.ids,_xlfn.MAP(_xlpm.split,_xlfn.LAMBDA(_xlpm.name,INDEX(Tactics!$A$2:$A$10,MATCH(TRIM(_xlpm.name),Tactics!$B$2:$B$10,0)))),
    _xlfn.TEXTJOIN(", ",TRUE,_xlpm.ids)
))</f>
        <v>FA0002</v>
      </c>
      <c r="E84" s="9" t="s">
        <v>111</v>
      </c>
    </row>
    <row r="85" spans="1:5" ht="48" x14ac:dyDescent="0.2">
      <c r="A85" s="9" t="s">
        <v>385</v>
      </c>
      <c r="B85" s="9" t="s">
        <v>310</v>
      </c>
      <c r="C85" s="9" t="s">
        <v>311</v>
      </c>
      <c r="D85" s="9" t="str" cm="1">
        <f t="array" ref="D85">IF(E85="","",_xlfn.LET(
    _xlpm.text,E85,
    _xlpm.split,_xlfn.TEXTSPLIT(_xlpm.text,", "),
    _xlpm.ids,_xlfn.MAP(_xlpm.split,_xlfn.LAMBDA(_xlpm.name,INDEX(Tactics!$A$2:$A$10,MATCH(TRIM(_xlpm.name),Tactics!$B$2:$B$10,0)))),
    _xlfn.TEXTJOIN(", ",TRUE,_xlpm.ids)
))</f>
        <v>FA0002</v>
      </c>
      <c r="E85" s="9" t="s">
        <v>111</v>
      </c>
    </row>
    <row r="86" spans="1:5" ht="176" x14ac:dyDescent="0.2">
      <c r="A86" s="9" t="s">
        <v>231</v>
      </c>
      <c r="B86" s="9" t="s">
        <v>232</v>
      </c>
      <c r="C86" s="9" t="s">
        <v>233</v>
      </c>
      <c r="D86" s="9" t="str" cm="1">
        <f t="array" ref="D86">IF(E86="","",_xlfn.LET(
    _xlpm.text,E86,
    _xlpm.split,_xlfn.TEXTSPLIT(_xlpm.text,", "),
    _xlpm.ids,_xlfn.MAP(_xlpm.split,_xlfn.LAMBDA(_xlpm.name,INDEX(Tactics!$A$2:$A$10,MATCH(TRIM(_xlpm.name),Tactics!$B$2:$B$10,0)))),
    _xlfn.TEXTJOIN(", ",TRUE,_xlpm.ids)
))</f>
        <v>TA0005</v>
      </c>
      <c r="E86" s="9" t="s">
        <v>401</v>
      </c>
    </row>
    <row r="87" spans="1:5" ht="176" x14ac:dyDescent="0.2">
      <c r="A87" s="9" t="s">
        <v>386</v>
      </c>
      <c r="B87" s="9" t="s">
        <v>113</v>
      </c>
      <c r="C87" s="9" t="s">
        <v>114</v>
      </c>
      <c r="D87" s="9" t="str" cm="1">
        <f t="array" ref="D87">IF(E87="","",_xlfn.LET(
    _xlpm.text,E87,
    _xlpm.split,_xlfn.TEXTSPLIT(_xlpm.text,", "),
    _xlpm.ids,_xlfn.MAP(_xlpm.split,_xlfn.LAMBDA(_xlpm.name,INDEX(Tactics!$A$2:$A$10,MATCH(TRIM(_xlpm.name),Tactics!$B$2:$B$10,0)))),
    _xlfn.TEXTJOIN(", ",TRUE,_xlpm.ids)
))</f>
        <v>FA0002</v>
      </c>
      <c r="E87" s="9" t="s">
        <v>111</v>
      </c>
    </row>
    <row r="88" spans="1:5" ht="80" x14ac:dyDescent="0.2">
      <c r="A88" s="9" t="s">
        <v>387</v>
      </c>
      <c r="B88" s="9" t="s">
        <v>206</v>
      </c>
      <c r="C88" s="9" t="s">
        <v>207</v>
      </c>
      <c r="D88" s="9" t="str" cm="1">
        <f t="array" ref="D88">IF(E88="","",_xlfn.LET(
    _xlpm.text,E88,
    _xlpm.split,_xlfn.TEXTSPLIT(_xlpm.text,", "),
    _xlpm.ids,_xlfn.MAP(_xlpm.split,_xlfn.LAMBDA(_xlpm.name,INDEX(Tactics!$A$2:$A$10,MATCH(TRIM(_xlpm.name),Tactics!$B$2:$B$10,0)))),
    _xlfn.TEXTJOIN(", ",TRUE,_xlpm.ids)
))</f>
        <v>TA0042</v>
      </c>
      <c r="E88" s="9" t="s">
        <v>63</v>
      </c>
    </row>
    <row r="89" spans="1:5" ht="335" x14ac:dyDescent="0.2">
      <c r="A89" s="9" t="s">
        <v>388</v>
      </c>
      <c r="B89" s="9" t="s">
        <v>209</v>
      </c>
      <c r="C89" s="9" t="s">
        <v>210</v>
      </c>
      <c r="D89" s="9" t="str" cm="1">
        <f t="array" ref="D89">IF(E89="","",_xlfn.LET(
    _xlpm.text,E89,
    _xlpm.split,_xlfn.TEXTSPLIT(_xlpm.text,", "),
    _xlpm.ids,_xlfn.MAP(_xlpm.split,_xlfn.LAMBDA(_xlpm.name,INDEX(Tactics!$A$2:$A$10,MATCH(TRIM(_xlpm.name),Tactics!$B$2:$B$10,0)))),
    _xlfn.TEXTJOIN(", ",TRUE,_xlpm.ids)
))</f>
        <v>TA0002, FA0002</v>
      </c>
      <c r="E89" s="9" t="s">
        <v>211</v>
      </c>
    </row>
    <row r="90" spans="1:5" ht="80" x14ac:dyDescent="0.2">
      <c r="A90" s="9" t="s">
        <v>240</v>
      </c>
      <c r="B90" s="9" t="s">
        <v>241</v>
      </c>
      <c r="C90" s="9" t="s">
        <v>242</v>
      </c>
      <c r="D90" s="9" t="str" cm="1">
        <f t="array" ref="D90">IF(E90="","",_xlfn.LET(
    _xlpm.text,E90,
    _xlpm.split,_xlfn.TEXTSPLIT(_xlpm.text,", "),
    _xlpm.ids,_xlfn.MAP(_xlpm.split,_xlfn.LAMBDA(_xlpm.name,INDEX(Tactics!$A$2:$A$10,MATCH(TRIM(_xlpm.name),Tactics!$B$2:$B$10,0)))),
    _xlfn.TEXTJOIN(", ",TRUE,_xlpm.ids)
))</f>
        <v>TA0001</v>
      </c>
      <c r="E90" s="9" t="s">
        <v>26</v>
      </c>
    </row>
    <row r="91" spans="1:5" ht="80" x14ac:dyDescent="0.2">
      <c r="A91" s="9" t="s">
        <v>243</v>
      </c>
      <c r="B91" s="9" t="s">
        <v>244</v>
      </c>
      <c r="C91" s="9" t="s">
        <v>245</v>
      </c>
      <c r="D91" s="9" t="str" cm="1">
        <f t="array" ref="D91">IF(E91="","",_xlfn.LET(
    _xlpm.text,E91,
    _xlpm.split,_xlfn.TEXTSPLIT(_xlpm.text,", "),
    _xlpm.ids,_xlfn.MAP(_xlpm.split,_xlfn.LAMBDA(_xlpm.name,INDEX(Tactics!$A$2:$A$10,MATCH(TRIM(_xlpm.name),Tactics!$B$2:$B$10,0)))),
    _xlfn.TEXTJOIN(", ",TRUE,_xlpm.ids)
))</f>
        <v>TA0001</v>
      </c>
      <c r="E91" s="9" t="s">
        <v>26</v>
      </c>
    </row>
    <row r="92" spans="1:5" ht="224" x14ac:dyDescent="0.2">
      <c r="A92" s="9" t="s">
        <v>389</v>
      </c>
      <c r="B92" s="9" t="s">
        <v>212</v>
      </c>
      <c r="C92" s="9" t="s">
        <v>213</v>
      </c>
      <c r="D92" s="9" t="str" cm="1">
        <f t="array" ref="D92">IF(E92="","",_xlfn.LET(
    _xlpm.text,E92,
    _xlpm.split,_xlfn.TEXTSPLIT(_xlpm.text,", "),
    _xlpm.ids,_xlfn.MAP(_xlpm.split,_xlfn.LAMBDA(_xlpm.name,INDEX(Tactics!$A$2:$A$10,MATCH(TRIM(_xlpm.name),Tactics!$B$2:$B$10,0)))),
    _xlfn.TEXTJOIN(", ",TRUE,_xlpm.ids)
))</f>
        <v>TA0043</v>
      </c>
      <c r="E92" s="9" t="s">
        <v>183</v>
      </c>
    </row>
    <row r="93" spans="1:5" ht="80" x14ac:dyDescent="0.2">
      <c r="A93" s="9" t="s">
        <v>89</v>
      </c>
      <c r="B93" s="9" t="s">
        <v>223</v>
      </c>
      <c r="C93" s="9" t="s">
        <v>224</v>
      </c>
      <c r="D93" s="9" t="str" cm="1">
        <f t="array" ref="D93">IF(E93="","",_xlfn.LET(
    _xlpm.text,E93,
    _xlpm.split,_xlfn.TEXTSPLIT(_xlpm.text,", "),
    _xlpm.ids,_xlfn.MAP(_xlpm.split,_xlfn.LAMBDA(_xlpm.name,INDEX(Tactics!$A$2:$A$10,MATCH(TRIM(_xlpm.name),Tactics!$B$2:$B$10,0)))),
    _xlfn.TEXTJOIN(", ",TRUE,_xlpm.ids)
))</f>
        <v>TA0005</v>
      </c>
      <c r="E93" s="9" t="s">
        <v>401</v>
      </c>
    </row>
    <row r="94" spans="1:5" ht="80" x14ac:dyDescent="0.2">
      <c r="A94" s="9" t="s">
        <v>390</v>
      </c>
      <c r="B94" s="9" t="s">
        <v>227</v>
      </c>
      <c r="C94" s="9" t="s">
        <v>228</v>
      </c>
      <c r="D94" s="9" t="str" cm="1">
        <f t="array" ref="D94">IF(E94="","",_xlfn.LET(
    _xlpm.text,E94,
    _xlpm.split,_xlfn.TEXTSPLIT(_xlpm.text,", "),
    _xlpm.ids,_xlfn.MAP(_xlpm.split,_xlfn.LAMBDA(_xlpm.name,INDEX(Tactics!$A$2:$A$10,MATCH(TRIM(_xlpm.name),Tactics!$B$2:$B$10,0)))),
    _xlfn.TEXTJOIN(", ",TRUE,_xlpm.ids)
))</f>
        <v>TA0001, TA0005</v>
      </c>
      <c r="E94" s="9" t="s">
        <v>407</v>
      </c>
    </row>
    <row r="95" spans="1:5" ht="80" x14ac:dyDescent="0.2">
      <c r="A95" s="9" t="s">
        <v>391</v>
      </c>
      <c r="B95" s="9" t="s">
        <v>229</v>
      </c>
      <c r="C95" s="9" t="s">
        <v>230</v>
      </c>
      <c r="D95" s="9" t="str" cm="1">
        <f t="array" ref="D95">IF(E95="","",_xlfn.LET(
    _xlpm.text,E95,
    _xlpm.split,_xlfn.TEXTSPLIT(_xlpm.text,", "),
    _xlpm.ids,_xlfn.MAP(_xlpm.split,_xlfn.LAMBDA(_xlpm.name,INDEX(Tactics!$A$2:$A$10,MATCH(TRIM(_xlpm.name),Tactics!$B$2:$B$10,0)))),
    _xlfn.TEXTJOIN(", ",TRUE,_xlpm.ids)
))</f>
        <v>TA0001, TA0005</v>
      </c>
      <c r="E95" s="9" t="s">
        <v>407</v>
      </c>
    </row>
    <row r="96" spans="1:5" ht="80" x14ac:dyDescent="0.2">
      <c r="A96" s="9" t="s">
        <v>96</v>
      </c>
      <c r="B96" s="9" t="s">
        <v>234</v>
      </c>
      <c r="C96" s="9" t="s">
        <v>235</v>
      </c>
      <c r="D96" s="9" t="str" cm="1">
        <f t="array" ref="D96">IF(E96="","",_xlfn.LET(
    _xlpm.text,E96,
    _xlpm.split,_xlfn.TEXTSPLIT(_xlpm.text,", "),
    _xlpm.ids,_xlfn.MAP(_xlpm.split,_xlfn.LAMBDA(_xlpm.name,INDEX(Tactics!$A$2:$A$10,MATCH(TRIM(_xlpm.name),Tactics!$B$2:$B$10,0)))),
    _xlfn.TEXTJOIN(", ",TRUE,_xlpm.ids)
))</f>
        <v>TA0001</v>
      </c>
      <c r="E96" s="9" t="s">
        <v>26</v>
      </c>
    </row>
    <row r="97" spans="1:5" ht="80" x14ac:dyDescent="0.2">
      <c r="A97" s="9" t="s">
        <v>392</v>
      </c>
      <c r="B97" s="9" t="s">
        <v>236</v>
      </c>
      <c r="C97" s="9" t="s">
        <v>237</v>
      </c>
      <c r="D97" s="9" t="str" cm="1">
        <f t="array" ref="D97">IF(E97="","",_xlfn.LET(
    _xlpm.text,E97,
    _xlpm.split,_xlfn.TEXTSPLIT(_xlpm.text,", "),
    _xlpm.ids,_xlfn.MAP(_xlpm.split,_xlfn.LAMBDA(_xlpm.name,INDEX(Tactics!$A$2:$A$10,MATCH(TRIM(_xlpm.name),Tactics!$B$2:$B$10,0)))),
    _xlfn.TEXTJOIN(", ",TRUE,_xlpm.ids)
))</f>
        <v>TA0043</v>
      </c>
      <c r="E97" s="9" t="s">
        <v>183</v>
      </c>
    </row>
    <row r="98" spans="1:5" ht="64" x14ac:dyDescent="0.2">
      <c r="A98" s="9" t="s">
        <v>393</v>
      </c>
      <c r="B98" s="9" t="s">
        <v>238</v>
      </c>
      <c r="C98" s="9" t="s">
        <v>239</v>
      </c>
      <c r="D98" s="9" t="str" cm="1">
        <f t="array" ref="D98">IF(E98="","",_xlfn.LET(
    _xlpm.text,E98,
    _xlpm.split,_xlfn.TEXTSPLIT(_xlpm.text,", "),
    _xlpm.ids,_xlfn.MAP(_xlpm.split,_xlfn.LAMBDA(_xlpm.name,INDEX(Tactics!$A$2:$A$10,MATCH(TRIM(_xlpm.name),Tactics!$B$2:$B$10,0)))),
    _xlfn.TEXTJOIN(", ",TRUE,_xlpm.ids)
))</f>
        <v>FA0001, TA0043</v>
      </c>
      <c r="E98" s="9" t="s">
        <v>140</v>
      </c>
    </row>
    <row r="99" spans="1:5" ht="409.6" x14ac:dyDescent="0.2">
      <c r="A99" s="9" t="s">
        <v>254</v>
      </c>
      <c r="B99" s="9" t="s">
        <v>255</v>
      </c>
      <c r="C99" s="9" t="s">
        <v>256</v>
      </c>
      <c r="D99" s="9" t="str" cm="1">
        <f t="array" ref="D99">IF(E99="","",_xlfn.LET(
    _xlpm.text,E99,
    _xlpm.split,_xlfn.TEXTSPLIT(_xlpm.text,", "),
    _xlpm.ids,_xlfn.MAP(_xlpm.split,_xlfn.LAMBDA(_xlpm.name,INDEX(Tactics!$A$2:$A$10,MATCH(TRIM(_xlpm.name),Tactics!$B$2:$B$10,0)))),
    _xlfn.TEXTJOIN(", ",TRUE,_xlpm.ids)
))</f>
        <v>TA0001</v>
      </c>
      <c r="E99" s="9" t="s">
        <v>26</v>
      </c>
    </row>
    <row r="100" spans="1:5" ht="304" x14ac:dyDescent="0.2">
      <c r="A100" s="9" t="s">
        <v>257</v>
      </c>
      <c r="B100" s="9" t="s">
        <v>258</v>
      </c>
      <c r="C100" s="9" t="s">
        <v>259</v>
      </c>
      <c r="D100" s="9" t="str" cm="1">
        <f t="array" ref="D100">IF(E100="","",_xlfn.LET(
    _xlpm.text,E100,
    _xlpm.split,_xlfn.TEXTSPLIT(_xlpm.text,", "),
    _xlpm.ids,_xlfn.MAP(_xlpm.split,_xlfn.LAMBDA(_xlpm.name,INDEX(Tactics!$A$2:$A$10,MATCH(TRIM(_xlpm.name),Tactics!$B$2:$B$10,0)))),
    _xlfn.TEXTJOIN(", ",TRUE,_xlpm.ids)
))</f>
        <v>TA0043</v>
      </c>
      <c r="E100" s="9" t="s">
        <v>183</v>
      </c>
    </row>
    <row r="101" spans="1:5" ht="112" x14ac:dyDescent="0.2">
      <c r="A101" s="9" t="s">
        <v>394</v>
      </c>
      <c r="B101" s="9" t="s">
        <v>246</v>
      </c>
      <c r="C101" s="9" t="s">
        <v>247</v>
      </c>
      <c r="D101" s="9" t="str" cm="1">
        <f t="array" ref="D101">IF(E101="","",_xlfn.LET(
    _xlpm.text,E101,
    _xlpm.split,_xlfn.TEXTSPLIT(_xlpm.text,", "),
    _xlpm.ids,_xlfn.MAP(_xlpm.split,_xlfn.LAMBDA(_xlpm.name,INDEX(Tactics!$A$2:$A$10,MATCH(TRIM(_xlpm.name),Tactics!$B$2:$B$10,0)))),
    _xlfn.TEXTJOIN(", ",TRUE,_xlpm.ids)
))</f>
        <v>FA0001, TA0005</v>
      </c>
      <c r="E101" s="9" t="s">
        <v>408</v>
      </c>
    </row>
    <row r="102" spans="1:5" ht="96" x14ac:dyDescent="0.2">
      <c r="A102" s="9" t="s">
        <v>395</v>
      </c>
      <c r="B102" s="9" t="s">
        <v>248</v>
      </c>
      <c r="C102" s="9" t="s">
        <v>249</v>
      </c>
      <c r="D102" s="9" t="str" cm="1">
        <f t="array" ref="D102">IF(E102="","",_xlfn.LET(
    _xlpm.text,E102,
    _xlpm.split,_xlfn.TEXTSPLIT(_xlpm.text,", "),
    _xlpm.ids,_xlfn.MAP(_xlpm.split,_xlfn.LAMBDA(_xlpm.name,INDEX(Tactics!$A$2:$A$10,MATCH(TRIM(_xlpm.name),Tactics!$B$2:$B$10,0)))),
    _xlfn.TEXTJOIN(", ",TRUE,_xlpm.ids)
))</f>
        <v>TA0002</v>
      </c>
      <c r="E102" s="9" t="s">
        <v>22</v>
      </c>
    </row>
    <row r="103" spans="1:5" ht="144" x14ac:dyDescent="0.2">
      <c r="A103" s="9" t="s">
        <v>266</v>
      </c>
      <c r="B103" s="9" t="s">
        <v>267</v>
      </c>
      <c r="C103" s="9" t="s">
        <v>268</v>
      </c>
      <c r="D103" s="9" t="str" cm="1">
        <f t="array" ref="D103">IF(E103="","",_xlfn.LET(
    _xlpm.text,E103,
    _xlpm.split,_xlfn.TEXTSPLIT(_xlpm.text,", "),
    _xlpm.ids,_xlfn.MAP(_xlpm.split,_xlfn.LAMBDA(_xlpm.name,INDEX(Tactics!$A$2:$A$10,MATCH(TRIM(_xlpm.name),Tactics!$B$2:$B$10,0)))),
    _xlfn.TEXTJOIN(", ",TRUE,_xlpm.ids)
))</f>
        <v>FA0001</v>
      </c>
      <c r="E103" s="9" t="s">
        <v>10</v>
      </c>
    </row>
    <row r="104" spans="1:5" ht="80" x14ac:dyDescent="0.2">
      <c r="A104" s="9" t="s">
        <v>108</v>
      </c>
      <c r="B104" s="9" t="s">
        <v>250</v>
      </c>
      <c r="C104" s="9" t="s">
        <v>251</v>
      </c>
      <c r="D104" s="9" t="str" cm="1">
        <f t="array" ref="D104">IF(E104="","",_xlfn.LET(
    _xlpm.text,E104,
    _xlpm.split,_xlfn.TEXTSPLIT(_xlpm.text,", "),
    _xlpm.ids,_xlfn.MAP(_xlpm.split,_xlfn.LAMBDA(_xlpm.name,INDEX(Tactics!$A$2:$A$10,MATCH(TRIM(_xlpm.name),Tactics!$B$2:$B$10,0)))),
    _xlfn.TEXTJOIN(", ",TRUE,_xlpm.ids)
))</f>
        <v>TA0042</v>
      </c>
      <c r="E104" s="9" t="s">
        <v>63</v>
      </c>
    </row>
    <row r="105" spans="1:5" ht="96" x14ac:dyDescent="0.2">
      <c r="A105" s="9" t="s">
        <v>112</v>
      </c>
      <c r="B105" s="9" t="s">
        <v>252</v>
      </c>
      <c r="C105" s="9" t="s">
        <v>253</v>
      </c>
      <c r="D105" s="9" t="str" cm="1">
        <f t="array" ref="D105">IF(E105="","",_xlfn.LET(
    _xlpm.text,E105,
    _xlpm.split,_xlfn.TEXTSPLIT(_xlpm.text,", "),
    _xlpm.ids,_xlfn.MAP(_xlpm.split,_xlfn.LAMBDA(_xlpm.name,INDEX(Tactics!$A$2:$A$10,MATCH(TRIM(_xlpm.name),Tactics!$B$2:$B$10,0)))),
    _xlfn.TEXTJOIN(", ",TRUE,_xlpm.ids)
))</f>
        <v>TA0005</v>
      </c>
      <c r="E105" s="9" t="s">
        <v>401</v>
      </c>
    </row>
    <row r="106" spans="1:5" ht="64" x14ac:dyDescent="0.2">
      <c r="A106" s="9" t="s">
        <v>273</v>
      </c>
      <c r="B106" s="9" t="s">
        <v>274</v>
      </c>
      <c r="C106" s="9" t="s">
        <v>275</v>
      </c>
      <c r="D106" s="9" t="str" cm="1">
        <f t="array" ref="D106">IF(E106="","",_xlfn.LET(
    _xlpm.text,E106,
    _xlpm.split,_xlfn.TEXTSPLIT(_xlpm.text,", "),
    _xlpm.ids,_xlfn.MAP(_xlpm.split,_xlfn.LAMBDA(_xlpm.name,INDEX(Tactics!$A$2:$A$10,MATCH(TRIM(_xlpm.name),Tactics!$B$2:$B$10,0)))),
    _xlfn.TEXTJOIN(", ",TRUE,_xlpm.ids)
))</f>
        <v>FA0001</v>
      </c>
      <c r="E106" s="9" t="s">
        <v>10</v>
      </c>
    </row>
    <row r="107" spans="1:5" ht="48" x14ac:dyDescent="0.2">
      <c r="A107" s="9" t="s">
        <v>276</v>
      </c>
      <c r="B107" s="9" t="s">
        <v>277</v>
      </c>
      <c r="C107" s="9" t="s">
        <v>278</v>
      </c>
      <c r="D107" s="9" t="str" cm="1">
        <f t="array" ref="D107">IF(E107="","",_xlfn.LET(
    _xlpm.text,E107,
    _xlpm.split,_xlfn.TEXTSPLIT(_xlpm.text,", "),
    _xlpm.ids,_xlfn.MAP(_xlpm.split,_xlfn.LAMBDA(_xlpm.name,INDEX(Tactics!$A$2:$A$10,MATCH(TRIM(_xlpm.name),Tactics!$B$2:$B$10,0)))),
    _xlfn.TEXTJOIN(", ",TRUE,_xlpm.ids)
))</f>
        <v>TA0001</v>
      </c>
      <c r="E107" s="9" t="s">
        <v>26</v>
      </c>
    </row>
    <row r="108" spans="1:5" ht="208" x14ac:dyDescent="0.2">
      <c r="A108" s="9" t="s">
        <v>279</v>
      </c>
      <c r="B108" s="9" t="s">
        <v>280</v>
      </c>
      <c r="C108" s="9" t="s">
        <v>281</v>
      </c>
      <c r="D108" s="9" t="str" cm="1">
        <f t="array" ref="D108">IF(E108="","",_xlfn.LET(
    _xlpm.text,E108,
    _xlpm.split,_xlfn.TEXTSPLIT(_xlpm.text,", "),
    _xlpm.ids,_xlfn.MAP(_xlpm.split,_xlfn.LAMBDA(_xlpm.name,INDEX(Tactics!$A$2:$A$10,MATCH(TRIM(_xlpm.name),Tactics!$B$2:$B$10,0)))),
    _xlfn.TEXTJOIN(", ",TRUE,_xlpm.ids)
))</f>
        <v>TA0042</v>
      </c>
      <c r="E108" s="9" t="s">
        <v>63</v>
      </c>
    </row>
    <row r="109" spans="1:5" ht="80" x14ac:dyDescent="0.2">
      <c r="A109" s="9" t="s">
        <v>282</v>
      </c>
      <c r="B109" s="9" t="s">
        <v>283</v>
      </c>
      <c r="C109" s="9" t="s">
        <v>284</v>
      </c>
      <c r="D109" s="9" t="str" cm="1">
        <f t="array" ref="D109">IF(E109="","",_xlfn.LET(
    _xlpm.text,E109,
    _xlpm.split,_xlfn.TEXTSPLIT(_xlpm.text,", "),
    _xlpm.ids,_xlfn.MAP(_xlpm.split,_xlfn.LAMBDA(_xlpm.name,INDEX(Tactics!$A$2:$A$10,MATCH(TRIM(_xlpm.name),Tactics!$B$2:$B$10,0)))),
    _xlfn.TEXTJOIN(", ",TRUE,_xlpm.ids)
))</f>
        <v>TA0042</v>
      </c>
      <c r="E109" s="9" t="s">
        <v>63</v>
      </c>
    </row>
    <row r="110" spans="1:5" ht="335" x14ac:dyDescent="0.2">
      <c r="A110" s="9" t="s">
        <v>285</v>
      </c>
      <c r="B110" s="9" t="s">
        <v>286</v>
      </c>
      <c r="C110" s="9" t="s">
        <v>287</v>
      </c>
      <c r="D110" s="9" t="str" cm="1">
        <f t="array" ref="D110">IF(E110="","",_xlfn.LET(
    _xlpm.text,E110,
    _xlpm.split,_xlfn.TEXTSPLIT(_xlpm.text,", "),
    _xlpm.ids,_xlfn.MAP(_xlpm.split,_xlfn.LAMBDA(_xlpm.name,INDEX(Tactics!$A$2:$A$10,MATCH(TRIM(_xlpm.name),Tactics!$B$2:$B$10,0)))),
    _xlfn.TEXTJOIN(", ",TRUE,_xlpm.ids)
))</f>
        <v>FA0001, TA0001</v>
      </c>
      <c r="E110" s="9" t="s">
        <v>265</v>
      </c>
    </row>
    <row r="111" spans="1:5" ht="64" x14ac:dyDescent="0.2">
      <c r="A111" s="9" t="s">
        <v>396</v>
      </c>
      <c r="B111" s="9" t="s">
        <v>334</v>
      </c>
      <c r="C111" s="9" t="s">
        <v>335</v>
      </c>
      <c r="D111" s="9" t="str" cm="1">
        <f t="array" ref="D111">IF(E111="","",_xlfn.LET(
    _xlpm.text,E111,
    _xlpm.split,_xlfn.TEXTSPLIT(_xlpm.text,", "),
    _xlpm.ids,_xlfn.MAP(_xlpm.split,_xlfn.LAMBDA(_xlpm.name,INDEX(Tactics!$A$2:$A$10,MATCH(TRIM(_xlpm.name),Tactics!$B$2:$B$10,0)))),
    _xlfn.TEXTJOIN(", ",TRUE,_xlpm.ids)
))</f>
        <v>TA0005, TA0043, TA0001</v>
      </c>
      <c r="E111" s="9" t="s">
        <v>409</v>
      </c>
    </row>
    <row r="112" spans="1:5" ht="395" x14ac:dyDescent="0.2">
      <c r="A112" s="9" t="s">
        <v>290</v>
      </c>
      <c r="B112" s="9" t="s">
        <v>291</v>
      </c>
      <c r="C112" s="9" t="s">
        <v>292</v>
      </c>
      <c r="D112" s="9" t="str" cm="1">
        <f t="array" ref="D112">IF(E112="","",_xlfn.LET(
    _xlpm.text,E112,
    _xlpm.split,_xlfn.TEXTSPLIT(_xlpm.text,", "),
    _xlpm.ids,_xlfn.MAP(_xlpm.split,_xlfn.LAMBDA(_xlpm.name,INDEX(Tactics!$A$2:$A$10,MATCH(TRIM(_xlpm.name),Tactics!$B$2:$B$10,0)))),
    _xlfn.TEXTJOIN(", ",TRUE,_xlpm.ids)
))</f>
        <v>TA0001</v>
      </c>
      <c r="E112" s="9" t="s">
        <v>26</v>
      </c>
    </row>
    <row r="113" spans="1:5" ht="96" x14ac:dyDescent="0.2">
      <c r="A113" s="9" t="s">
        <v>397</v>
      </c>
      <c r="B113" s="9" t="s">
        <v>337</v>
      </c>
      <c r="C113" s="9" t="s">
        <v>398</v>
      </c>
      <c r="D113" s="9" t="str" cm="1">
        <f t="array" ref="D113">IF(E113="","",_xlfn.LET(
    _xlpm.text,E113,
    _xlpm.split,_xlfn.TEXTSPLIT(_xlpm.text,", "),
    _xlpm.ids,_xlfn.MAP(_xlpm.split,_xlfn.LAMBDA(_xlpm.name,INDEX(Tactics!$A$2:$A$10,MATCH(TRIM(_xlpm.name),Tactics!$B$2:$B$10,0)))),
    _xlfn.TEXTJOIN(", ",TRUE,_xlpm.ids)
))</f>
        <v>TA0005, TA0043, TA0001</v>
      </c>
      <c r="E113" s="9" t="s">
        <v>409</v>
      </c>
    </row>
    <row r="114" spans="1:5" ht="80" x14ac:dyDescent="0.2">
      <c r="A114" s="9" t="s">
        <v>295</v>
      </c>
      <c r="B114" s="9" t="s">
        <v>296</v>
      </c>
      <c r="C114" s="9" t="s">
        <v>297</v>
      </c>
      <c r="D114" s="9" t="str" cm="1">
        <f t="array" ref="D114">IF(E114="","",_xlfn.LET(
    _xlpm.text,E114,
    _xlpm.split,_xlfn.TEXTSPLIT(_xlpm.text,", "),
    _xlpm.ids,_xlfn.MAP(_xlpm.split,_xlfn.LAMBDA(_xlpm.name,INDEX(Tactics!$A$2:$A$10,MATCH(TRIM(_xlpm.name),Tactics!$B$2:$B$10,0)))),
    _xlfn.TEXTJOIN(", ",TRUE,_xlpm.ids)
))</f>
        <v>TA0001</v>
      </c>
      <c r="E114" s="9" t="s">
        <v>26</v>
      </c>
    </row>
    <row r="115" spans="1:5" ht="80" x14ac:dyDescent="0.2">
      <c r="A115" s="9" t="s">
        <v>298</v>
      </c>
      <c r="B115" s="9" t="s">
        <v>299</v>
      </c>
      <c r="C115" s="9" t="s">
        <v>300</v>
      </c>
      <c r="D115" s="9" t="str" cm="1">
        <f t="array" ref="D115">IF(E115="","",_xlfn.LET(
    _xlpm.text,E115,
    _xlpm.split,_xlfn.TEXTSPLIT(_xlpm.text,", "),
    _xlpm.ids,_xlfn.MAP(_xlpm.split,_xlfn.LAMBDA(_xlpm.name,INDEX(Tactics!$A$2:$A$10,MATCH(TRIM(_xlpm.name),Tactics!$B$2:$B$10,0)))),
    _xlfn.TEXTJOIN(", ",TRUE,_xlpm.ids)
))</f>
        <v>TA0001</v>
      </c>
      <c r="E115" s="9" t="s">
        <v>26</v>
      </c>
    </row>
    <row r="116" spans="1:5" ht="80" x14ac:dyDescent="0.2">
      <c r="A116" s="9" t="s">
        <v>399</v>
      </c>
      <c r="B116" s="9" t="s">
        <v>338</v>
      </c>
      <c r="C116" s="9" t="s">
        <v>336</v>
      </c>
      <c r="D116" s="9" t="str" cm="1">
        <f t="array" ref="D116">IF(E116="","",_xlfn.LET(
    _xlpm.text,E116,
    _xlpm.split,_xlfn.TEXTSPLIT(_xlpm.text,", "),
    _xlpm.ids,_xlfn.MAP(_xlpm.split,_xlfn.LAMBDA(_xlpm.name,INDEX(Tactics!$A$2:$A$10,MATCH(TRIM(_xlpm.name),Tactics!$B$2:$B$10,0)))),
    _xlfn.TEXTJOIN(", ",TRUE,_xlpm.ids)
))</f>
        <v>TA0005, TA0043, TA0001</v>
      </c>
      <c r="E116" s="9" t="s">
        <v>409</v>
      </c>
    </row>
    <row r="117" spans="1:5" ht="96" x14ac:dyDescent="0.2">
      <c r="A117" s="9" t="s">
        <v>134</v>
      </c>
      <c r="B117" s="9" t="s">
        <v>260</v>
      </c>
      <c r="C117" s="9" t="s">
        <v>261</v>
      </c>
      <c r="D117" s="9" t="str" cm="1">
        <f t="array" ref="D117">IF(E117="","",_xlfn.LET(
    _xlpm.text,E117,
    _xlpm.split,_xlfn.TEXTSPLIT(_xlpm.text,", "),
    _xlpm.ids,_xlfn.MAP(_xlpm.split,_xlfn.LAMBDA(_xlpm.name,INDEX(Tactics!$A$2:$A$10,MATCH(TRIM(_xlpm.name),Tactics!$B$2:$B$10,0)))),
    _xlfn.TEXTJOIN(", ",TRUE,_xlpm.ids)
))</f>
        <v>TA0001, TA0043</v>
      </c>
      <c r="E117" s="9" t="s">
        <v>262</v>
      </c>
    </row>
    <row r="118" spans="1:5" ht="80" x14ac:dyDescent="0.2">
      <c r="A118" s="9" t="s">
        <v>137</v>
      </c>
      <c r="B118" s="9" t="s">
        <v>263</v>
      </c>
      <c r="C118" s="9" t="s">
        <v>264</v>
      </c>
      <c r="D118" s="9" t="str" cm="1">
        <f t="array" ref="D118">IF(E118="","",_xlfn.LET(
    _xlpm.text,E118,
    _xlpm.split,_xlfn.TEXTSPLIT(_xlpm.text,", "),
    _xlpm.ids,_xlfn.MAP(_xlpm.split,_xlfn.LAMBDA(_xlpm.name,INDEX(Tactics!$A$2:$A$10,MATCH(TRIM(_xlpm.name),Tactics!$B$2:$B$10,0)))),
    _xlfn.TEXTJOIN(", ",TRUE,_xlpm.ids)
))</f>
        <v>FA0001, TA0001</v>
      </c>
      <c r="E118" s="9" t="s">
        <v>265</v>
      </c>
    </row>
    <row r="119" spans="1:5" ht="80" x14ac:dyDescent="0.2">
      <c r="A119" s="9" t="s">
        <v>141</v>
      </c>
      <c r="B119" s="9" t="s">
        <v>269</v>
      </c>
      <c r="C119" s="9" t="s">
        <v>270</v>
      </c>
      <c r="D119" s="9" t="str" cm="1">
        <f t="array" ref="D119">IF(E119="","",_xlfn.LET(
    _xlpm.text,E119,
    _xlpm.split,_xlfn.TEXTSPLIT(_xlpm.text,", "),
    _xlpm.ids,_xlfn.MAP(_xlpm.split,_xlfn.LAMBDA(_xlpm.name,INDEX(Tactics!$A$2:$A$10,MATCH(TRIM(_xlpm.name),Tactics!$B$2:$B$10,0)))),
    _xlfn.TEXTJOIN(", ",TRUE,_xlpm.ids)
))</f>
        <v>TA0002</v>
      </c>
      <c r="E119" s="9" t="s">
        <v>22</v>
      </c>
    </row>
    <row r="120" spans="1:5" ht="176" x14ac:dyDescent="0.2">
      <c r="A120" s="9" t="s">
        <v>303</v>
      </c>
      <c r="B120" s="9" t="s">
        <v>271</v>
      </c>
      <c r="C120" s="9" t="s">
        <v>272</v>
      </c>
      <c r="D120" s="9" t="str" cm="1">
        <f t="array" ref="D120">IF(E120="","",_xlfn.LET(
    _xlpm.text,E120,
    _xlpm.split,_xlfn.TEXTSPLIT(_xlpm.text,", "),
    _xlpm.ids,_xlfn.MAP(_xlpm.split,_xlfn.LAMBDA(_xlpm.name,INDEX(Tactics!$A$2:$A$10,MATCH(TRIM(_xlpm.name),Tactics!$B$2:$B$10,0)))),
    _xlfn.TEXTJOIN(", ",TRUE,_xlpm.ids)
))</f>
        <v>TA0002</v>
      </c>
      <c r="E120" s="9" t="s">
        <v>22</v>
      </c>
    </row>
    <row r="121" spans="1:5" ht="112" x14ac:dyDescent="0.2">
      <c r="A121" s="9" t="s">
        <v>312</v>
      </c>
      <c r="B121" s="9" t="s">
        <v>288</v>
      </c>
      <c r="C121" s="9" t="s">
        <v>289</v>
      </c>
      <c r="D121" s="9" t="str" cm="1">
        <f t="array" ref="D121">IF(E121="","",_xlfn.LET(
    _xlpm.text,E121,
    _xlpm.split,_xlfn.TEXTSPLIT(_xlpm.text,", "),
    _xlpm.ids,_xlfn.MAP(_xlpm.split,_xlfn.LAMBDA(_xlpm.name,INDEX(Tactics!$A$2:$A$10,MATCH(TRIM(_xlpm.name),Tactics!$B$2:$B$10,0)))),
    _xlfn.TEXTJOIN(", ",TRUE,_xlpm.ids)
))</f>
        <v>TA0005</v>
      </c>
      <c r="E121" s="9" t="s">
        <v>401</v>
      </c>
    </row>
    <row r="122" spans="1:5" ht="144" x14ac:dyDescent="0.2">
      <c r="A122" s="9" t="s">
        <v>400</v>
      </c>
      <c r="B122" s="9" t="s">
        <v>293</v>
      </c>
      <c r="C122" s="9" t="s">
        <v>294</v>
      </c>
      <c r="D122" s="9" t="str" cm="1">
        <f t="array" ref="D122">IF(E122="","",_xlfn.LET(
    _xlpm.text,E122,
    _xlpm.split,_xlfn.TEXTSPLIT(_xlpm.text,", "),
    _xlpm.ids,_xlfn.MAP(_xlpm.split,_xlfn.LAMBDA(_xlpm.name,INDEX(Tactics!$A$2:$A$10,MATCH(TRIM(_xlpm.name),Tactics!$B$2:$B$10,0)))),
    _xlfn.TEXTJOIN(", ",TRUE,_xlpm.ids)
))</f>
        <v>FA0001</v>
      </c>
      <c r="E122" s="9" t="s">
        <v>10</v>
      </c>
    </row>
    <row r="123" spans="1:5" ht="80" x14ac:dyDescent="0.2">
      <c r="A123" s="9" t="s">
        <v>169</v>
      </c>
      <c r="B123" s="9" t="s">
        <v>109</v>
      </c>
      <c r="C123" s="9" t="s">
        <v>110</v>
      </c>
      <c r="D123" s="9" t="str" cm="1">
        <f t="array" ref="D123">IF(E123="","",_xlfn.LET(
    _xlpm.text,E123,
    _xlpm.split,_xlfn.TEXTSPLIT(_xlpm.text,", "),
    _xlpm.ids,_xlfn.MAP(_xlpm.split,_xlfn.LAMBDA(_xlpm.name,INDEX(Tactics!$A$2:$A$10,MATCH(TRIM(_xlpm.name),Tactics!$B$2:$B$10,0)))),
    _xlfn.TEXTJOIN(", ",TRUE,_xlpm.ids)
))</f>
        <v>FA0002</v>
      </c>
      <c r="E123" s="9" t="s">
        <v>111</v>
      </c>
    </row>
    <row r="124" spans="1:5" ht="256" x14ac:dyDescent="0.2">
      <c r="A124" s="9" t="s">
        <v>208</v>
      </c>
      <c r="B124" s="9" t="s">
        <v>301</v>
      </c>
      <c r="C124" s="9" t="s">
        <v>302</v>
      </c>
      <c r="D124" s="9" t="str" cm="1">
        <f t="array" ref="D124">IF(E124="","",_xlfn.LET(
    _xlpm.text,E124,
    _xlpm.split,_xlfn.TEXTSPLIT(_xlpm.text,", "),
    _xlpm.ids,_xlfn.MAP(_xlpm.split,_xlfn.LAMBDA(_xlpm.name,INDEX(Tactics!$A$2:$A$10,MATCH(TRIM(_xlpm.name),Tactics!$B$2:$B$10,0)))),
    _xlfn.TEXTJOIN(", ",TRUE,_xlpm.ids)
))</f>
        <v>TA0005</v>
      </c>
      <c r="E124" s="9" t="s">
        <v>401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9"/>
  <sheetViews>
    <sheetView tabSelected="1" topLeftCell="A3" zoomScaleNormal="100" workbookViewId="0">
      <selection activeCell="A6" sqref="A6:XFD6"/>
    </sheetView>
  </sheetViews>
  <sheetFormatPr baseColWidth="10" defaultColWidth="8.83203125" defaultRowHeight="15" x14ac:dyDescent="0.2"/>
  <cols>
    <col min="2" max="2" width="27.5" customWidth="1"/>
    <col min="3" max="3" width="78.5" style="1" customWidth="1"/>
  </cols>
  <sheetData>
    <row r="1" spans="1:4" ht="16" x14ac:dyDescent="0.2">
      <c r="A1" s="2" t="s">
        <v>3</v>
      </c>
      <c r="B1" s="2" t="s">
        <v>4</v>
      </c>
      <c r="C1" s="2" t="s">
        <v>321</v>
      </c>
    </row>
    <row r="2" spans="1:4" ht="144" x14ac:dyDescent="0.2">
      <c r="A2" s="3" t="s">
        <v>322</v>
      </c>
      <c r="B2" s="3" t="s">
        <v>183</v>
      </c>
      <c r="C2" s="4" t="s">
        <v>323</v>
      </c>
    </row>
    <row r="3" spans="1:4" ht="128" x14ac:dyDescent="0.2">
      <c r="A3" s="5" t="s">
        <v>324</v>
      </c>
      <c r="B3" s="5" t="s">
        <v>63</v>
      </c>
      <c r="C3" s="6" t="s">
        <v>410</v>
      </c>
    </row>
    <row r="4" spans="1:4" ht="112" x14ac:dyDescent="0.2">
      <c r="A4" s="3" t="s">
        <v>325</v>
      </c>
      <c r="B4" s="3" t="s">
        <v>26</v>
      </c>
      <c r="C4" s="4" t="s">
        <v>326</v>
      </c>
      <c r="D4" s="1"/>
    </row>
    <row r="5" spans="1:4" ht="144" x14ac:dyDescent="0.2">
      <c r="A5" s="5" t="s">
        <v>327</v>
      </c>
      <c r="B5" s="5" t="s">
        <v>401</v>
      </c>
      <c r="C5" s="6" t="s">
        <v>404</v>
      </c>
    </row>
    <row r="6" spans="1:4" ht="160" x14ac:dyDescent="0.2">
      <c r="A6" t="s">
        <v>403</v>
      </c>
      <c r="B6" t="s">
        <v>402</v>
      </c>
      <c r="C6" s="1" t="s">
        <v>405</v>
      </c>
    </row>
    <row r="7" spans="1:4" ht="112" x14ac:dyDescent="0.2">
      <c r="A7" s="7" t="s">
        <v>328</v>
      </c>
      <c r="B7" s="7" t="s">
        <v>10</v>
      </c>
      <c r="C7" s="8" t="s">
        <v>329</v>
      </c>
    </row>
    <row r="8" spans="1:4" ht="176" x14ac:dyDescent="0.2">
      <c r="A8" s="5" t="s">
        <v>330</v>
      </c>
      <c r="B8" s="5" t="s">
        <v>22</v>
      </c>
      <c r="C8" s="6" t="s">
        <v>331</v>
      </c>
    </row>
    <row r="9" spans="1:4" ht="144" x14ac:dyDescent="0.2">
      <c r="A9" s="7" t="s">
        <v>332</v>
      </c>
      <c r="B9" s="7" t="s">
        <v>111</v>
      </c>
      <c r="C9" s="8" t="s">
        <v>333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5E9A6EB-E1F5-40DF-8E3D-2573C78749C9}">
  <ds:schemaRefs>
    <ds:schemaRef ds:uri="http://schemas.microsoft.com/sharepoint/v3/contenttype/forms"/>
  </ds:schemaRefs>
</ds:datastoreItem>
</file>

<file path=customXml/itemProps2.xml><?xml version="1.0" encoding="utf-8"?>
<ds:datastoreItem xmlns:ds="http://schemas.openxmlformats.org/officeDocument/2006/customXml" ds:itemID="{DC7F9EF2-C1BC-4CE0-ADE4-7BA4FE8FF5FB}">
  <ds:schemaRef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dcmitype/"/>
    <ds:schemaRef ds:uri="b5a44311-ed64-4a72-909f-c9dc6973bde2"/>
    <ds:schemaRef ds:uri="4924a7a6-226d-4709-822c-ddd693735af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5B507651-5BE5-4ABC-ABE6-D1B49CE5227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924a7a6-226d-4709-822c-ddd693735afe"/>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Techniques</vt:lpstr>
      <vt:lpstr>Tactics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Mike Cunningham</cp:lastModifiedBy>
  <cp:revision/>
  <dcterms:created xsi:type="dcterms:W3CDTF">2026-02-26T15:07:32Z</dcterms:created>
  <dcterms:modified xsi:type="dcterms:W3CDTF">2026-06-23T17:36:57Z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