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mitre.sharepoint.com/sites/center-for-threat-informed-defense/CTID Research/1 - Customer Projects/25-06 - Fight Financial Fraud/Working Folder/"/>
    </mc:Choice>
  </mc:AlternateContent>
  <xr:revisionPtr revIDLastSave="0" documentId="8_{2FDB2D07-D561-4E66-ADC1-3F7FE98D1F4D}" xr6:coauthVersionLast="47" xr6:coauthVersionMax="47" xr10:uidLastSave="{00000000-0000-0000-0000-000000000000}"/>
  <bookViews>
    <workbookView xWindow="28680" yWindow="270" windowWidth="25440" windowHeight="15270" xr2:uid="{00000000-000D-0000-FFFF-FFFF00000000}"/>
  </bookViews>
  <sheets>
    <sheet name="Techniques" sheetId="1" r:id="rId1"/>
    <sheet name="Tactics"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 l="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alcChain>
</file>

<file path=xl/sharedStrings.xml><?xml version="1.0" encoding="utf-8"?>
<sst xmlns="http://schemas.openxmlformats.org/spreadsheetml/2006/main" count="519" uniqueCount="398">
  <si>
    <t>Technique ID</t>
  </si>
  <si>
    <t>Technique</t>
  </si>
  <si>
    <t>Description</t>
  </si>
  <si>
    <t>Tactic ID</t>
  </si>
  <si>
    <t>Tactic Name</t>
  </si>
  <si>
    <t>Reviewer</t>
  </si>
  <si>
    <t>Comments</t>
  </si>
  <si>
    <t>F1076</t>
  </si>
  <si>
    <t>3DS Bypass</t>
  </si>
  <si>
    <t>Fraud actors may exploit weaknesses in 3-Domain Secure authentication implementations to bypass additional security verification for card-not-present transactions. This may include deliberately providing incomplete cardholder information to cause authentication failures that result in transactions being processed without additional verification. Bypassing 3DS authentication allows fraud actors to conduct fraudulent transactions without completing the additional security challenges designed to prevent card-not-present fraud.</t>
  </si>
  <si>
    <t>Defense Evasion</t>
  </si>
  <si>
    <t>T1453</t>
  </si>
  <si>
    <t>Abuse Accessibility Features</t>
  </si>
  <si>
    <t>Fraud actors may abuse accessibility features on mobile devices to intercept and manipulate authentication processes. Malicious applications may request accessibility service permissions, enabling them to monitor screen content, intercept authentication prompts, and capture one-time passwords or other multi-factor authentication codes displayed on the device. This technique allows fraud actors to bypass security controls by gaining unauthorized access to sensitive information presented through legitimate authentication interfaces.</t>
  </si>
  <si>
    <t>Positioning</t>
  </si>
  <si>
    <t>F1001</t>
  </si>
  <si>
    <t>Abuse of Public-Facing API</t>
  </si>
  <si>
    <t>Fraud actors may exploit publicly available APIs intended for legitimate customer or partner use to facilitate fraud operations. This may include account enumeration, credential stuffing attacks, data scraping, or automated financial transaction fraud. Fraud actors often leverage compromised credentials, botnets, or custom scripts to generate high volumes of API requests that mimic legitimate traffic patterns.</t>
  </si>
  <si>
    <t>Initial Access, Execution</t>
  </si>
  <si>
    <t>F1001.001</t>
  </si>
  <si>
    <t>Abuse of Public-Facing API: Mobile API Abuse</t>
  </si>
  <si>
    <t>Fraud actors may exploit mobile-specific APIs to conduct fraud operations. This may include using modified mobile applications, mobile device emulators, or custom scripts to generate fraudulent API calls that appear legitimate. Fraud actors target mobile APIs to bypass security controls designed for web-based access or to exploit mobile-specific vulnerabilities in authentication and authorization mechanisms.</t>
  </si>
  <si>
    <t>F1001.002</t>
  </si>
  <si>
    <t>Abuse of Public-Facing API: Web API Abuse</t>
  </si>
  <si>
    <t>Fraud actors may abuse web-based APIs exposed through websites or web applications to automate fraud operations. This may include leveraging botnets, proxy networks, or headless browsers to mimic legitimate web traffic while conducting credential stuffing, transaction fraud, or data exfiltration. Fraud actors exploit web APIs to bypass rate limiting, CAPTCHA controls, or other security mechanisms designed to prevent automated abuse.</t>
  </si>
  <si>
    <t>F1004</t>
  </si>
  <si>
    <t>Abuse SMS verification</t>
  </si>
  <si>
    <t>Fraud actors may abuse SMS verification services to generate excessive costs or enable fraud. This may include sending multiple verification requests to premium-rate numbers, manipulating SMS routing to route traffic through higher-cost carriers, or flooding systems with verification requests to disrupt services or increase operational costs for the target organization.</t>
  </si>
  <si>
    <t>Execution</t>
  </si>
  <si>
    <t>F1005</t>
  </si>
  <si>
    <t>Access Notifications</t>
  </si>
  <si>
    <t>Fraud actors may intercept SMS messages or push notifications to capture authentication codes or sensitive information sent to victim devices. This may include exploiting SIM swap vulnerabilities, using malware to read notification content, or compromising notification delivery infrastructure. Fraud actors use captured authentication codes to bypass multi-factor authentication controls and gain unauthorized account access.</t>
  </si>
  <si>
    <t>Initial Access, Positioning</t>
  </si>
  <si>
    <t>F1006</t>
  </si>
  <si>
    <t>Access with Stolen Session Cookie</t>
  </si>
  <si>
    <t>Fraud actors may use stolen session cookies to gain unauthorized access to user accounts without requiring authentication credentials. Session cookies maintain user login state and may be obtained through phishing, malware, network interception, or data breaches. By replaying stolen session cookies, fraud actors can impersonate legitimate users and access accounts as long as the session remains valid.</t>
  </si>
  <si>
    <t>Initial Access</t>
  </si>
  <si>
    <t>T1531</t>
  </si>
  <si>
    <t>Account Access Removal</t>
  </si>
  <si>
    <t>Fraud actors may remove or alter account access controls after gaining unauthorized access to lock out legitimate account owners. This may include changing login credentials, modifying account recovery information, or manipulating user roles and permissions within enterprise systems. By preventing the legitimate owner from regaining access, fraud actors maintain persistent control over compromised accounts.</t>
  </si>
  <si>
    <t>F1007</t>
  </si>
  <si>
    <t>Account Linking</t>
  </si>
  <si>
    <t>Fraud actors may link compromised accounts to accounts under their control to establish persistent access that survives credential resets. In online and mobile banking environments, fraud actors may link victim bank accounts to secondary credentials or profiles without the victim's knowledge. This technique allows fraud actors to maintain account access even after the victim changes primary authentication credentials.</t>
  </si>
  <si>
    <t>F1008</t>
  </si>
  <si>
    <t>Account Manipulation</t>
  </si>
  <si>
    <t>Fraud actors may modify account settings to facilitate fraud operations or maintain persistent access. This may include altering payment methods, changing account details, modifying notification preferences, or adjusting security settings. Fraud actors typically gain initial access through stolen credentials or system vulnerabilities, then make unauthorized changes to account configurations to support subsequent fraud activities or prevent detection.</t>
  </si>
  <si>
    <t>F1008.004</t>
  </si>
  <si>
    <t>Account Manipulation: Add Authorized User</t>
  </si>
  <si>
    <t>Fraud actors may add themselves or accomplices as authorized users or secondary signers on compromised accounts. Authorized users typically have permission to perform transactions and access account features on behalf of the primary account holder. This technique provides fraud actors with legitimate-appearing access to accounts and may be used to position access for monetization or to establish persistent access that appears authorized.</t>
  </si>
  <si>
    <t>F1008.006</t>
  </si>
  <si>
    <t>Account Manipulation: Add Beneficiary</t>
  </si>
  <si>
    <t>Fraud actors may add themselves or accounts under their control as beneficiaries on compromised financial accounts. Beneficiary designations determine who receives account assets or benefits after the account holder's death or under other specified conditions. This technique allows fraud actors to potentially receive account assets in the future or to establish fraudulent claims to account benefits.</t>
  </si>
  <si>
    <t>F1008.005</t>
  </si>
  <si>
    <t>Account Manipulation: Add Call Receiving Device</t>
  </si>
  <si>
    <t>Fraud actors may add devices under their control to victim accounts to intercept phone calls intended for the legitimate account holder. This may include adding devices to cloud account profiles such as Apple ID or Microsoft accounts. By intercepting phone calls, fraud actors can receive authentication codes sent via voice calls, intercept customer service callbacks, or monitor communication related to account security.</t>
  </si>
  <si>
    <t>F1008.002</t>
  </si>
  <si>
    <t>Account Manipulation: Additional Bank Accounts</t>
  </si>
  <si>
    <t>Fraud actors may add new bank account details to compromised accounts to redirect future payments or transfers. By adding accounts under their control to payment or payout settings, fraud actors can intercept legitimate financial transfers or redirect funds during payment processing. This technique is commonly used against merchant accounts, payroll systems, or other platforms that facilitate outbound payments.</t>
  </si>
  <si>
    <t>F1008.003</t>
  </si>
  <si>
    <t>Account Manipulation: Additional Payment Methods</t>
  </si>
  <si>
    <t>Fraud actors may add new credit cards, bank accounts, or other financial instruments to compromised accounts. This allows fraud actors to make unauthorized purchases, redirect funds to accounts under their control, or establish payment methods that can be used for subsequent fraud operations. Added payment methods may be funded with stolen financial credentials or used to monetize compromised accounts.</t>
  </si>
  <si>
    <t>F1008.009</t>
  </si>
  <si>
    <t>Account Manipulation: Change Account Details</t>
  </si>
  <si>
    <t>Fraud actors may change account details such as PIN numbers, security questions, transaction limits, or other account parameters. By modifying these details, fraud actors can reduce security controls, increase their operational capabilities, or prevent legitimate users from accessing or recovering accounts. This may include changing knowledge-based authentication answers or adjusting account restrictions.</t>
  </si>
  <si>
    <t>F1008.001</t>
  </si>
  <si>
    <t>Account Manipulation: Change E-Delivery / Notification Settings</t>
  </si>
  <si>
    <t>Fraud actors may change electronic delivery or notification settings to prevent account holders from detecting suspicious account activity. By disabling email alerts, SMS notifications, or other notification mechanisms, fraud actors can conduct fraudulent transactions or account modifications without triggering alerts that would otherwise notify the legitimate account owner.</t>
  </si>
  <si>
    <t>F1008.008</t>
  </si>
  <si>
    <t>Account Manipulation: Change of Payment Details</t>
  </si>
  <si>
    <t>Fraud actors may alter legitimate payment details stored in compromised accounts to redirect payments to accounts or payment methods under their control. This may include changing bank account numbers, credit card information, or electronic payment addresses stored for recurring payments or payouts. This technique is commonly used to redirect payroll, vendor payments, or customer refunds.</t>
  </si>
  <si>
    <t>F1008.007</t>
  </si>
  <si>
    <t>Account Manipulation: Enable Account Features</t>
  </si>
  <si>
    <t>Fraud actors may enable additional account features that legitimate account holders did not intend to activate. This may include increasing transaction limits, enabling international transactions, activating overdraft protection, or enabling other features that facilitate unauthorized financial activities. By expanding account capabilities, fraud actors increase their ability to monetize compromised accounts.</t>
  </si>
  <si>
    <t>F1018</t>
  </si>
  <si>
    <t>Account Takeover</t>
  </si>
  <si>
    <t>Fraud actors may gain unauthorized access and control of user accounts on financial platforms or services. This may include using stolen credentials, exploiting system vulnerabilities, conducting phishing attacks, or leveraging credential stuffing with previously breached credentials. Once access is obtained, fraud actors can modify account details, redirect payments, initiate unauthorized transactions, or extract sensitive customer data for further fraud operations.</t>
  </si>
  <si>
    <t>F1018.001</t>
  </si>
  <si>
    <t>Account Takeover: Exposed API Key</t>
  </si>
  <si>
    <t>Fraudsters may take over accounts by obtaining exposed API keys that are intended to authorize programmatic access to financial services. An exposed key can allow unauthorized interaction with payment platforms, enabling access to account data, manipulation of payment flows, and initiation of illicit transactions without traditional interactive login.
API keys may be exposed through insecure code repositories, plaintext configuration files, shared code snippets, or targeted phishing of developers and technical staff. Once obtained, fraudsters can use the key to retrieve transaction and customer information, create or modify transactions and refunds for their own benefit, alter payment configuration to reroute future funds, or harvest data that supports follow‑on phishing or fraud campaigns.</t>
  </si>
  <si>
    <t>F1018.002</t>
  </si>
  <si>
    <t>Account Takeover: Exposed Login Credential</t>
  </si>
  <si>
    <t>Fraudsters may gain control of accounts by using exposed login credentials, such as usernames and passwords leaked or stolen from other sources. Using these credentials, they authenticate directly to payment or account portals and assume the identity of the legitimate user, often without triggering additional verification if passwords are reused or multifactor controls are weak.
Login credentials can be obtained via large‑scale data breaches, credential‑stuffing lists, phishing campaigns, keylogging malware, or password spraying against common combinations. After gaining access, fraudsters may change routing details or payout instructions, initiate withdrawals or refunds, view and exfiltrate sensitive customer data, adjust billing or invoicing settings to redirect future payments, or use the compromised account as infrastructure for additional fraud schemes.</t>
  </si>
  <si>
    <t>F1018.003</t>
  </si>
  <si>
    <t>Account Takeover: Password Reset</t>
  </si>
  <si>
    <t xml:space="preserve">Fraudsters may seize control of accounts by abusing password reset and account recovery mechanisms. By compromising a victim’s email account or intercepting reset links and one‑time codes, they can initiate and complete password reset flows without the legitimate user’s knowledge. Once the reset is successful, fraudsters establish new credentials under their control, lock the victim out of the account, and can freely modify settings, payment details, or perform unauthorized transactions.
</t>
  </si>
  <si>
    <t>F1020</t>
  </si>
  <si>
    <t>Account Transfer</t>
  </si>
  <si>
    <t>Fraud actors may transfer funds or assets from compromised accounts without authorization. This typically involves using legitimate transfer mechanisms after gaining unauthorized account access through stolen credentials, social engineering, or technical exploits. Fraud actors may transfer funds to accounts under their control or to intermediary accounts used for money laundering operations.</t>
  </si>
  <si>
    <t>T1650</t>
  </si>
  <si>
    <t>Acquire Access</t>
  </si>
  <si>
    <t>Fraud actors may acquire unauthorized access to systems, networks, or accounts to facilitate fraud operations. This encompasses various methods including exploitation of vulnerabilities, use of stolen credentials, social engineering, or leveraging compromised infrastructure. Once access is obtained, fraud actors can conduct reconnaissance, establish persistence, or directly execute fraud activities such as data theft or unauthorized transactions.</t>
  </si>
  <si>
    <t>Resource Development</t>
  </si>
  <si>
    <t>T1583</t>
  </si>
  <si>
    <t>Acquire Infrastructure</t>
  </si>
  <si>
    <t>Fraud actors may acquire or compromise infrastructure to support fraud operations. This may include registering domains, establishing hosting services, deploying command and control infrastructure, or compromising legitimate infrastructure for malicious use. Acquired infrastructure provides fraud actors with resources needed to conduct phishing campaigns, host malicious content, process fraudulent transactions, or maintain persistent access to compromised environments.</t>
  </si>
  <si>
    <t>T1583.001</t>
  </si>
  <si>
    <t>Acquire Infrastructure: Domains</t>
  </si>
  <si>
    <t>Fraud actors may register domains similar to legitimate organizations or services to support fraud operations. This may include typosquatting domains, domains using different top-level domains, or domains incorporating organization names with additional words. Fraudulent domains are used for phishing websites, fake service websites, or to send emails that appear to originate from legitimate organizations.</t>
  </si>
  <si>
    <t>T1583.008</t>
  </si>
  <si>
    <t>Acquire Infrastructure: Malvertising</t>
  </si>
  <si>
    <t>Fraud actors may create malicious advertisements that direct users to fraudulent sites equipped with credential harvesting or payment card skimming capabilities. This may include advertisements for fraudulent merchant sites or compromised legitimate merchant sites. Fraud actors often use stolen payment card data to fund advertising campaigns, creating a self-sustaining fraud operation where stolen credentials fund further credential theft activities.</t>
  </si>
  <si>
    <t>T1583.003</t>
  </si>
  <si>
    <t>Acquire Infrastructure: Virtual Private Network or Server</t>
  </si>
  <si>
    <t>Fraud actors may acquire access to VPN services or anonymous proxy servers to mask their activities or create the appearance of legitimate operations. VPN and proxy services allow fraud actors to obscure their true location, bypass geographic restrictions, evade detection systems that rely on IP reputation, or simulate legitimate user traffic patterns during fraud operations.</t>
  </si>
  <si>
    <t>F1023</t>
  </si>
  <si>
    <t>Adversary-in-the-Browser</t>
  </si>
  <si>
    <t>Fraud actors may use malware or malicious browser components to intercept, monitor, or manipulate web browser activity and transactions. This may include injecting malicious code into browser processes, deploying malicious browser extensions, or using DLL injection to compromise browser operations. Adversary-in-the-browser techniques allow real-time interception and modification of web traffic, including credential capture and transaction manipulation.</t>
  </si>
  <si>
    <t>F1023.001</t>
  </si>
  <si>
    <t>Adversary-in-the-Browser: DLL Injection</t>
  </si>
  <si>
    <t>Fraud actors may inject malicious dynamic-link libraries into legitimate browser processes to intercept and manipulate web traffic. Injected DLLs can capture credentials, modify displayed content, intercept form data, or manipulate financial transactions in real-time. This technique allows fraud actors to bypass browser security controls and operate within the context of trusted browser processes.</t>
  </si>
  <si>
    <t>F1023.002</t>
  </si>
  <si>
    <t>Adversary-in-the-Browser: Malicious Browser Extension</t>
  </si>
  <si>
    <t>Fraud actors may deploy malicious browser extensions that appear legitimate but contain hidden functionality to steal credentials or intercept financial transactions. Malicious extensions can monitor web activity, capture form inputs including payment information, modify displayed content, or inject malicious scripts into visited web pages. Users may be deceived into installing these extensions through social engineering or by compromising legitimate extension distribution channels.</t>
  </si>
  <si>
    <t>F1023.003</t>
  </si>
  <si>
    <t>Adversary-in-the-Browser: Malicious JavaScript Injection</t>
  </si>
  <si>
    <t>Fraud actors may inject malicious JavaScript into legitimate web pages to intercept credentials, capture payment information, or manipulate financial transactions. This may be accomplished through compromising web servers, exploiting cross-site scripting vulnerabilities, or using browser-based malware to modify page content before rendering. Injected JavaScript operates within the security context of the legitimate website, making detection more difficult.</t>
  </si>
  <si>
    <t>T1557</t>
  </si>
  <si>
    <t>Adversary-in-the-Middle</t>
  </si>
  <si>
    <t>Fraud actors may attempt to position themselves between two or more devices to support follow-on behaviors such as Network Sniffing, Transmitted Data Manipulation, or replay attacks (Exploitation for Credential Access). By abusing features of common network protocols that can determine the flow of network traffic (e.g. ARP, DNS, LLMNR, etc.), fraud actors may force a device to communicate through a fraudster-controlled system so they can collect information or perform additional actions.</t>
  </si>
  <si>
    <t>F1030</t>
  </si>
  <si>
    <t>ATM Manipulation</t>
  </si>
  <si>
    <t>Fraud actors may manipulate ATM hardware or software to steal financial data or dispense unauthorized cash. This may include installing malicious software, exploiting vulnerabilities, connecting unauthorized hardware devices, or physically manipulating ATM components. ATM manipulation techniques allow fraud actors to capture card data and PINs, dispense cash without proper authorization, or disable security controls.</t>
  </si>
  <si>
    <t>F1030.002</t>
  </si>
  <si>
    <t>ATM Manipulation: ATM Hardware Manipulation</t>
  </si>
  <si>
    <t>Fraud actors may manipulate ATM hardware to gain unauthorized access or control. This may include installing black box devices that connect to internal ATM systems, modifying card readers to capture card data, or physically accessing internal communication interfaces. Hardware manipulation techniques such as ATM black boxing involve connecting unauthorized devices to the ATM's internal systems to send fraudulent dispense commands.</t>
  </si>
  <si>
    <t>F1030.001</t>
  </si>
  <si>
    <t>ATM Manipulation: ATM Software Manipulation</t>
  </si>
  <si>
    <t>Fraud actors may manipulate ATM software to gain unauthorized access to sensitive financial data or conduct unauthorized transactions. This may include installing malicious software, exploiting software vulnerabilities, or modifying ATM operating system configurations. Software manipulation can allow fraud actors to capture card data and PINs, dispense cash without authorization, or disable security controls.</t>
  </si>
  <si>
    <t>F1033</t>
  </si>
  <si>
    <t>Bank Deposit</t>
  </si>
  <si>
    <t>Fraud actors may exploit bank deposit mechanisms to introduce fraudulent funds, kite checks, or launder money. This may include depositing counterfeit checks, manipulating mobile deposit systems, exploiting deposit timing vulnerabilities, or using stolen instruments. Bank deposit fraud techniques exploit the delay between deposit and verification or clearing of deposited instruments.</t>
  </si>
  <si>
    <t>F1033.001</t>
  </si>
  <si>
    <t>Bank Deposit: ATM Deposit</t>
  </si>
  <si>
    <t>Fraud actors may exploit ATM deposit functions to introduce fraudulent checks or cash into accounts. This may include depositing counterfeit checks, altered checks, or stolen instruments through ATMs that process deposits with limited immediate verification. ATM deposits may provide longer processing times before fraud is detected compared to teller deposits.</t>
  </si>
  <si>
    <t>F1033.002</t>
  </si>
  <si>
    <t>Bank Deposit: Mobile Deposit</t>
  </si>
  <si>
    <t>Fraud actors may exploit mobile deposit capabilities to deposit fraudulent checks or repeatedly deposit the same check. This may include depositing counterfeit checks, altered checks, or exploiting check processing delays to deposit the same check through multiple channels before fraud is detected. Mobile deposit systems may have reduced verification compared to in-person deposits.</t>
  </si>
  <si>
    <t>F1033.003</t>
  </si>
  <si>
    <t>Bank Deposit: Night Deposit</t>
  </si>
  <si>
    <t>Fraud actors may exploit night deposit services to introduce fraudulent deposits with delayed verification. Night deposits are processed the following business day, providing additional time for fraud actors to exploit the float period before deposits are verified. This may include depositing counterfeit checks, stolen checks, or altered instruments.</t>
  </si>
  <si>
    <t>F1033.004</t>
  </si>
  <si>
    <t>Bank Deposit: Test Deposit</t>
  </si>
  <si>
    <t>Fraud actors may abuse test deposit mechanisms used for account verification to gather account information or conduct micro-deposit fraud. Account linking services often send small test deposits that users must verify, and fraud actors may intercept these deposits to confirm account control or conduct account enumeration. This technique may also be used to identify active accounts for targeting.</t>
  </si>
  <si>
    <t>F1038</t>
  </si>
  <si>
    <t>Bank Transfer</t>
  </si>
  <si>
    <t>Fraud actors may initiate unauthorized bank transfers to move funds from compromised accounts. This may include wire transfers, ACH transfers, peer-to-peer payment transfers, or other electronic fund transfer mechanisms. Fraud actors typically gain access through stolen credentials, compromised sessions, or by manipulating account holders through social engineering before initiating transfers to accounts under their control.</t>
  </si>
  <si>
    <t>F1039</t>
  </si>
  <si>
    <t>Betting and Gambling Platforms</t>
  </si>
  <si>
    <t>Fraud actors may exploit betting and gambling platforms to launder money, conduct bonus abuse, or commit transaction fraud. This may include creating accounts with stolen identities, exploiting bonus structures, conducting arbitrage fraud, or using gambling platforms to transfer and obfuscate the origin of illicit funds. Gambling platforms can provide mechanisms for moving funds while creating transaction complexity that hinders fraud detection.</t>
  </si>
  <si>
    <t>Monetization</t>
  </si>
  <si>
    <t>F1039.001</t>
  </si>
  <si>
    <t>Betting and Gambling Platforms: Deposit Funds for Betting</t>
  </si>
  <si>
    <t>Fraud actors may deposit stolen funds into gambling platform accounts to launder money or exploit platform features. This may include depositing funds from compromised payment methods, then withdrawing funds through different payment mechanisms to obscure the original source. Fraud actors may conduct minimal gambling activity to create the appearance of legitimate platform use.</t>
  </si>
  <si>
    <t>T1185</t>
  </si>
  <si>
    <t>Browser Session Hijacking</t>
  </si>
  <si>
    <t>Fraud actors may take advantage of security vulnerabilities and inherent functionality in browser software to change content, modify user-behaviors, and intercept information as part of various browser session hijacking techniques.[1]
A specific example is when a fraud actor injects software into a browser that allows them to inherit cookies, HTTP sessions, and SSL client certificates of a user then use the browser as a way to pivot into an authenticated intranet.[2][3] Executing browser-based behaviors such as pivoting may require specific process permissions, such as SeDebugPrivilege and/or high-integrity/administrator rights
Another example involves pivoting browser traffic from the fraud actor's browser through the user's browser by setting up a proxy which will redirect web traffic. This does not alter the user's traffic in any way, and the proxy connection can be severed as soon as the browser is closed. The fraud actor assumes the security context of whichever browser process the proxy is injected into. Browsers typically create a new process for each tab that is opened and permissions and certificates are separated accordingly. With these permissions, a fraud actor could potentially browse to any resource on an intranet, such as SharePoint or webmail, that is accessible through the browser and which the browser has sufficient permissions. Browser pivoting may also bypass security provided by 2-factor authentication.[4]</t>
  </si>
  <si>
    <t>T1110</t>
  </si>
  <si>
    <t>Brute Force</t>
  </si>
  <si>
    <t>Fraud actors may use brute force techniques to gain access to accounts when passwords are unknown or when password hashes are obtained. Without knowledge of the password for an account or set of accounts, a fraud actor may systematically guess the password using a repetitive or iterative mechanism. Brute forcing passwords can take place via interaction with a service that will check the validity of those credentials or offline against previously acquired credential data, such as password hashes.
Brute forcing credentials may take place at various points during a breach. For example, fraud actors may attempt to brute force access to Valid Accounts within a victim environment leveraging knowledge gathered from other post-compromise behaviors such as OS Credential Dumping, Account Discovery, or Password Policy Discovery. Fraud actors may also combine brute forcing activity with behaviors such as External Remote Services as part of Initial Access.
If a fraud actor guesses the correct password but fails to login to a compromised account due to location-based conditional access policies, they may change their infrastructure until they match the victim’s location and therefore bypass those policies.</t>
  </si>
  <si>
    <t>T1110.004</t>
  </si>
  <si>
    <t>Brute Force:  Credential Stuffing</t>
  </si>
  <si>
    <t xml:space="preserve">Fraud actors may use credentials obtained from breach dumps of unrelated accounts to gain access to target accounts through credential overlap. Occasionally, large numbers of username and password pairs are dumped online when a website or service is compromised and the user account credentials accessed. The information may be useful to a fraud actor attempting to compromise accounts by taking advantage of the tendency for users to use the same passwords across personal and business accounts.
Credential stuffing is a risky option because it could cause numerous authentication failures and account lockouts, depending on the organization's login failure policies.
</t>
  </si>
  <si>
    <t>T1110.002</t>
  </si>
  <si>
    <t>Brute Force: Password Cracking</t>
  </si>
  <si>
    <t xml:space="preserve">Fraud actors may use password cracking to attempt to recover usable credentials, such as plaintext passwords, when credential material such as password hashes are obtained. OS Credential Dumping can be used to obtain password hashes, this may only get a fraud actor so far when Pass the Hash is not an option. Further, fraud actors may leverage Data from Configuration Repository in order to obtain hashed credentials for network devices.
Techniques to systematically guess the passwords used to compute hashes are available, or the fraud actor may use a pre-computed rainbow table to crack hashes. Cracking hashes is usually done on fraudster-controlled systems outside of the target network. The resulting plaintext password resulting from a successfully cracked hash may be used to log into systems, resources, and services in which the account has access.
</t>
  </si>
  <si>
    <t>T1110.001</t>
  </si>
  <si>
    <t>Brute Force: Password Guessing</t>
  </si>
  <si>
    <t>Fraud actors with no prior knowledge of legitimate credentials within the system or environment may guess passwords to attempt access to accounts. Without knowledge of the password for an account, a fraud actor may opt to systematically guess the password using a repetitive or iterative mechanism. A fraud actor may guess login credentials without prior knowledge of system or environment passwords during an operation by using a list of common passwords. Password guessing may or may not take into account the target's policies on password complexity or use policies that may lock accounts out after a number of failed attempts.
Guessing passwords can be a risky option because it could cause numerous authentication failures and account lockouts, depending on the organization's login failure policies.</t>
  </si>
  <si>
    <t>T1110.003</t>
  </si>
  <si>
    <t>Brute Force: Password Spraying</t>
  </si>
  <si>
    <t xml:space="preserve">Fraud actors may use a single or small list of commonly used passwords against many different accounts to attempt to acquire valid account credentials. Password spraying uses one password (e.g. 'Password01'), or a small list of commonly used passwords, that may match the complexity policy of the domain. Logins are attempted with that password against many different accounts on a network to avoid account lockouts that would normally occur when brute forcing a single account with many passwords.
In order to avoid detection thresholds, fraud actors may deliberately throttle password spraying attempts to avoid triggering security alerting. Additionally, fraud actors may leverage LDAP and Kerberos authentication attempts, which are less likely to trigger high-visibility events such as Windows "logon failure" event ID 4625 that is commonly triggered by failed SMB connection attempts.
</t>
  </si>
  <si>
    <t>F1041</t>
  </si>
  <si>
    <t>Buy Money Order</t>
  </si>
  <si>
    <t>Fraud actors may purchase money orders with stolen payment methods or fraudulent funds to convert illicit proceeds into more anonymous monetary instruments. Money orders can be cashed at various locations, are difficult to trace back to the purchaser, and can be used as payment instruments with reduced fraud detection compared to electronic payments. Fraud actors may use multiple small money orders to avoid transaction reporting thresholds.</t>
  </si>
  <si>
    <t>F1042</t>
  </si>
  <si>
    <t>Card Dump Capture</t>
  </si>
  <si>
    <t>Fraud actors may capture payment card magnetic stripe data, EMV chip data, or card details from various sources. This may include using skimming devices at point-of-sale terminals, ATMs, or fuel pumps, compromising payment processing systems, or conducting memory scraping attacks against POS systems. Captured card data can be used to create counterfeit cards, conduct card-not-present fraud, or be sold to other malicious fraud actors.</t>
  </si>
  <si>
    <t>F1043</t>
  </si>
  <si>
    <t>Card Testing</t>
  </si>
  <si>
    <t>Fraud actors may test stolen payment card credentials by conducting small transactions to determine if cards are valid and active. This may include making small purchases, authorization attempts without completing transactions, or using automated testing services. Successful card tests confirm which stolen credentials remain valid for use in larger fraudulent transactions or for sale to other malicious fraud actors.</t>
  </si>
  <si>
    <t>F1093</t>
  </si>
  <si>
    <t>Change Payroll Details</t>
  </si>
  <si>
    <t xml:space="preserve">Fraudsters may alter payroll settings so that salary or wage payments are redirected to accounts they control. This can include changing direct‑deposit account numbers, updating routing information, or modifying payee details within payroll or HR systems, enabling ongoing diversion of payroll funds away from the legitimate employee.
</t>
  </si>
  <si>
    <t>F1049</t>
  </si>
  <si>
    <t>Charge Back Fraud</t>
  </si>
  <si>
    <t>Fraudsters or complicit consumers may intentionally dispute legitimate card purchases or payment transactions to obtain unwarranted credits or refunds from a financial institution. By falsely claiming that a transaction was unauthorized, fraudulent, or that goods or services were not received, they seek to reverse charges while retaining the benefit of the original purchase.</t>
  </si>
  <si>
    <t>F1050</t>
  </si>
  <si>
    <t>Check Fraud</t>
  </si>
  <si>
    <t>Fraudsters may illicitly obtain funds by abusing paper or digital checks tied to existing accounts. This can involve stealing checks, forging signatures or endorsements, issuing counterfeit or unauthorized checks, altering payee or amount details, or “washing” and reusing legitimate checks, all with the goal of cashing out or redirecting funds without the account holder’s consent.</t>
  </si>
  <si>
    <t>F1051</t>
  </si>
  <si>
    <t>Churning</t>
  </si>
  <si>
    <t>Churning fraud occurs when fraudsters repeatedly use stolen payment card information to conduct transactions until the card limit is reached or the account balance is depleted, often before detection or card deactivation.
Fraudsters typically begin with a low‑value test transaction to confirm that the card details are valid and active, then rapidly execute a series of higher‑value transactions. These transactions often involve card‑not‑present channels such as eCommerce, digital goods and services, or purchases that can be quickly resold, including gift cards, prepaid instruments, or other easily liquidated assets.
The primary objectives of churning fraud are to quickly monetize stolen card data before it is revoked, acquire goods or assets that can be anonymized or converted into cash with minimal traceability, and maximize financial gain from each compromised card before fraud controls or victims detect the activity.</t>
  </si>
  <si>
    <t>T1586</t>
  </si>
  <si>
    <t>Compromise Accounts</t>
  </si>
  <si>
    <t>Fraud actors may compromise accounts with services that can be leveraged during fraud operations. This may include social media accounts, email accounts, cloud service accounts, or corporate accounts. Compromised accounts provide fraud actors with legitimate-appearing identities for conducting social engineering, distributing malicious content, or accessing services and data associated with the compromised account.</t>
  </si>
  <si>
    <t>T1586.003</t>
  </si>
  <si>
    <t>Compromise Accounts: Cloud Accounts</t>
  </si>
  <si>
    <t>Fraud actors may compromise cloud service accounts to access sensitive data, pivot to connected resources, or leverage cloud services for malicious purposes. Compromised cloud accounts may provide access to stored data, configuration information, or connected services and applications. Fraud actors may use compromised cloud accounts to host malicious content, conduct cryptomining operations, or access resources in connected cloud environments.</t>
  </si>
  <si>
    <t>T1586.004</t>
  </si>
  <si>
    <t>Compromise Accounts: Corporate Accounts</t>
  </si>
  <si>
    <t>Fraud actors may compromise corporate accounts to gain access to business systems, conduct business email compromise attacks, or access sensitive corporate information. Compromised corporate accounts provide fraud actors with legitimate credentials for accessing internal systems, customer data, financial information, or other protected corporate resources. These accounts may also be used to authorize fraudulent transactions or initiate unauthorized changes to business processes.</t>
  </si>
  <si>
    <t>T1586.002</t>
  </si>
  <si>
    <t>Compromise Accounts: Email Accounts</t>
  </si>
  <si>
    <t>Fraud actors may compromise email accounts that can be used during targeting. Fraud actors can use compromised email accounts to further their operations, such as leveraging them to conduct Phishing for Information, Phishing, or large-scale spam email campaigns. Utilizing an existing persona with a compromised email account may engender a level of trust in a potential victim if they have a relationship with, or knowledge of, the compromised persona. Compromised email accounts can also be used in the acquisition of infrastructure (ex: Domains).
A variety of methods exist for compromising email accounts, such as gathering credentials via Phishing for Information, purchasing credentials from third-party sites, brute forcing credentials (ex: password reuse from breach credential dumps), or paying employees, suppliers or business partners for access to credentials. Prior to compromising email accounts, fraud actors may conduct Reconnaissance to inform decisions about which accounts to compromise to further their operation. Fraud actors may target compromising well-known email accounts or domains from which malicious spam or Phishing emails may evade reputation-based email filtering rules.
Fraud actors can use a compromised email account to hijack existing email threads with targets of interest.</t>
  </si>
  <si>
    <t>T1586.001</t>
  </si>
  <si>
    <t>Compromise Accounts: Social Media Accounts</t>
  </si>
  <si>
    <t>Fraud actors may compromise social media accounts to conduct social engineering attacks, distribute malicious content, or impersonate legitimate users. Compromised social media accounts can be used to send convincing phishing messages to the victim's contacts, promote fraudulent schemes, gather intelligence about targets and their relationships, or damage the reputation of the account owner.</t>
  </si>
  <si>
    <t>F1057</t>
  </si>
  <si>
    <t>Compromise Payment Gateway</t>
  </si>
  <si>
    <t>Fraudsters may gain unauthorized access to payment gateway platforms that process online transactions, allowing them to interfere with how payments are routed and recorded. Once embedded in a gateway environment, they can redirect transactions to accounts they control, alter transaction details to siphon funds, capture payment card and customer data, or disrupt normal settlement processes.
Compromise of a payment gateway can occur through exploitation of software vulnerabilities, use of stolen or weak credentials, phishing of gateway or merchant staff, or deployment of malware that intercepts traffic between merchants and the gateway. Fraud actors often focus on weaknesses in the integration between a merchant’s website and the gateway, or on misconfigurations and security gaps within the gateway’s own infrastructure, to maintain persistent and covert access.</t>
  </si>
  <si>
    <t>F1047</t>
  </si>
  <si>
    <t>Convert to Cryptocurrency</t>
  </si>
  <si>
    <t>Fraudsters may convert stolen or illicit funds into cryptocurrencies such as Bitcoin or Ethereum to obscure the origin and movement of value. Cryptocurrency transfers leverage pseudonymous addresses and cross‑platform exchanges, making it more difficult for traditional financial monitoring and investigative processes to trace or recover the underlying funds.</t>
  </si>
  <si>
    <t>F1059</t>
  </si>
  <si>
    <t>Create Counterfeit Card</t>
  </si>
  <si>
    <t>Fraudsters may manufacture physical payment cards using stolen or fabricated card data in order to conduct in‑person or card‑present transactions. This includes encoding compromised account details onto blank card stock or cloning existing cards so that fraudulent purchases, ATM withdrawals, or cash‑back transactions appear to originate from a legitimate debit or credit card.</t>
  </si>
  <si>
    <t>F1060</t>
  </si>
  <si>
    <t>Create Fake Materials</t>
  </si>
  <si>
    <t>Fraud actors may create fraudulent materials to deceive victims or establish false legitimacy. This may include creating fake websites, fraudulent documents, counterfeit identification, or other materials designed to appear legitimate. Fake materials are used to support various fraud operations including phishing, identity fraud, business email compromise, or establishing fraudulent business entities.</t>
  </si>
  <si>
    <t>F1060.001</t>
  </si>
  <si>
    <t>Create Fake Materials: Fake Documents</t>
  </si>
  <si>
    <t>Fraud actors may forge documents and supporting artifacts to falsify identities, deceive authorities, or fabricate evidence in support of fraud operations. This can include creating or altering identification cards, passports, financial statements, or shipping-related evidence such as tracking numbers to bypass verification processes, gain access to restricted services, or legitimize fraudulent transactions. Commonly faked documents include bank statements, paychecks, government-issued IDs, Social Security cards, and insurance policies, which may be either fully counterfeit or subtly modified to evade detection.</t>
  </si>
  <si>
    <t>F1060.002</t>
  </si>
  <si>
    <t>Create Fake Materials: Fake e-Commerce Website</t>
  </si>
  <si>
    <t>Fraud actors may create fraudulent e-commerce websites to capture payment information or steal credentials. Fake e-commerce sites may mimic legitimate retailers, advertise products with no intention of delivery, or simply harvest payment card information during checkout. These sites may be promoted through malicious advertisements, search engine optimization, or social media campaigns to attract victims.</t>
  </si>
  <si>
    <t>T1555</t>
  </si>
  <si>
    <t>Credentials from Password Stores</t>
  </si>
  <si>
    <t>Fraud actors may search for common password storage locations to obtain user credentials. Passwords are stored in several places on a system, depending on the operating system or application holding the credentials. There are also specific applications and services that store passwords to make them easier for users to manage and maintain, such as password managers and cloud secrets vaults. Once credentials are obtained, they can be used to perform lateral movement and access restricted information.</t>
  </si>
  <si>
    <t>Reconnaissance</t>
  </si>
  <si>
    <t>T1555.003</t>
  </si>
  <si>
    <t>Credentials from Password Stores: Credentials from Web Browsers</t>
  </si>
  <si>
    <t>Fraud actors may extract credentials saved in web browser password storage mechanisms. Web browsers commonly offer to save and autofill credentials for user convenience, but this stored information can be extracted by malware or fraud actors with local access. Extracted credentials may include usernames, passwords, and authentication tokens for various online services.</t>
  </si>
  <si>
    <t>T1555.005</t>
  </si>
  <si>
    <t>Credentials from Password Stores: Password Managers</t>
  </si>
  <si>
    <t xml:space="preserve">Fraud actors may acquire user credentials from third-party password managers.[1] Password managers are applications designed to store user credentials, normally in an encrypted database. Credentials are typically accessible after a user provides a master password that unlocks the database. After the database is unlocked, these credentials may be copied to memory. These databases can be stored as files on disk. </t>
  </si>
  <si>
    <t>F1063</t>
  </si>
  <si>
    <t>Delete Relevant Emails</t>
  </si>
  <si>
    <t>Fraudsters may delete emails that could alert victims or investigators to ongoing fraudulent activity. This can include removing copies of messages sent from the victim’s account, replies from recipients, security alerts about unusual login or transaction activity, or other notifications that would reveal account changes, preventing the legitimate user from noticing and responding to the compromise</t>
  </si>
  <si>
    <t>F1064</t>
  </si>
  <si>
    <t>Device Fingerprint Spoofing</t>
  </si>
  <si>
    <t>Fraud actors employ device fingerprint spoofing to mask their true identities and evade detection by security systems. By manipulating various attributes of their device's fingerprint, such as browser settings, operating system details, and hardware configurations, they can make their devices appear as different, legitimate ones. This technique enables fraud actors to bypass security measures that rely on device identification for authentication or fraud detection, allowing them to carry out illicit activities while remaining undetected.</t>
  </si>
  <si>
    <t>T1189</t>
  </si>
  <si>
    <t>Drive-by Compromise</t>
  </si>
  <si>
    <t>Fraud actors may gain access to a system through a user visiting a website over the normal course of browsing. Multiple ways of delivering exploit code to a browser exist (i.e., Drive-by Target), including: 
- A legitimate website is compromised, allowing fraud actors to inject malicious code
- Script files served to a legitimate website from a publicly writeable cloud storage bucket are modified by a fraud actor
- Malicious ads are paid for and served through legitimate ad providers (i.e., Malvertising)
- Built-in web application interfaces that allow content are leveraged for the insertion of malicious scripts or iFrames (e.g., cross-site scripting)
Browser push notifications may also be abused by fraud actors and leveraged for malicious code injection via User Execution. By clicking "allow" on browser push notifications, users may be granting a website permission to run JavaScript code on their browser.
Often the website used by a fraud actor is one visited by a specific community, such as government, a particular industry, or a particular region, where the goal is to compromise a specific user or set of users based on a shared interest. This kind of targeted campaign is often referred to a strategic web compromise or watering hole attack. There are several known examples of this occurring.</t>
  </si>
  <si>
    <t>T1667</t>
  </si>
  <si>
    <t>Email Bombing</t>
  </si>
  <si>
    <t>Fraud actors may flood targeted email addresses with an overwhelming volume of messages. This may bury legitimate emails in a flood of spam and disrupt business operations.[1][2]
A fraud actor may accomplish email bombing by leveraging an automated bot to register a targeted address for e-mail lists that do not validate new signups, such as online newsletters. The result can be a wave of thousands of e-mails that effectively overloads the victim’s inbox.[2][3]
By sending hundreds or thousands of e-mails in quick succession, fraud actors may successfully divert attention away from and bury legitimate messages including security alerts, daily business processes like help desk tickets and client correspondence, or ongoing scams.[3] This behavior can also be used as a tool of harassment.[2]</t>
  </si>
  <si>
    <t>T1672</t>
  </si>
  <si>
    <t>Email Spoofing</t>
  </si>
  <si>
    <t>Technique used by fraud actors to misrepresent the sender's email address, making it seem as if the email originates from a trusted or reliable source. The intent is to deceive the recipient (victim) into thinking the message is genuine, prompting them to click on malicious links, download and execute attachments with malware, share confidential information or execute fraudulent activity. This technique is frequently utilized in phishing scams to trick individuals into becoming victims of fraud or malware.</t>
  </si>
  <si>
    <t>T1585</t>
  </si>
  <si>
    <t>Establish Accounts</t>
  </si>
  <si>
    <t>Fraud actors may create and cultivate accounts with services that can be used during targeting. fraud actors can create accounts that can be used to build a persona to further operations. Persona development consists of the development of public information, presence, history and appropriate affiliations. This development could be applied to social media, website, or other publicly available information that could be referenced and scrutinized for legitimacy over the course of an operation using that persona or identity.
For operations incorporating social engineering, the utilization of an online persona may be important. These personas may be fictitious or impersonate real people. The persona may exist on a single site or across multiple sites (ex: Facebook, LinkedIn, Twitter, Google, GitHub, Docker Hub, etc.). Establishing a persona may require development of additional documentation to make them seem real. This could include filling out profile information, developing social networks, or incorporating photos.
Establishing accounts can also include the creation of accounts with email providers, which may be directly leveraged for Phishing for Information or Phishing. In addition, establishing accounts may allow fraud actors to abuse free services, such as registering for trial periods to Acquire Infrastructure for malicious purposes.</t>
  </si>
  <si>
    <t>F1066</t>
  </si>
  <si>
    <t>Falsify Business Documents</t>
  </si>
  <si>
    <t>Fraud actors may create or alter business documents to support fraud schemes or deceive stakeholders. This may include creating fake invoices, forging business licenses, falsifying financial statements, or creating fraudulent corporate documentation. Falsified documents may be used to establish fraudulent business entities, support business email compromise schemes, obtain financing, or deceive partners and customers.</t>
  </si>
  <si>
    <t>F1048</t>
  </si>
  <si>
    <t>Fradulent Purchasing</t>
  </si>
  <si>
    <t xml:space="preserve">Fraudulent purchasing occurs when fraud actors use stolen payment card data, compromised or fraudulent accounts, or money laundering channels to buy goods or services. These purchases are used to convert illicit funds into seemingly legitimate assets, avoid scrutiny by financial institutions, or cash out stolen value into clean money.
Fraud actors may carry out fraudulent purchases using stolen credit card details or by abusing compromised financial accounts on e‑commerce platforms, payment processors (for example, gateway providers), or brick‑and‑mortar merchants with online payment capabilities. They may prioritize high‑value goods that can be quickly resold, or convert funds into cryptocurrencies or gift cards that provide liquid, harder‑to‑trace value.
Examples of fraudulent purchasing include: buying luxury items with stolen card information and reselling them for cash; ordering goods or services to drop addresses where they or associates can safely retrieve the items; and using illegitimately obtained funds to purchase gift cards or digital assets that have anonymous resale value or can be redeemed without exposing the buyer’s identity.
The primary objectives of fraudulent purchasing are to liquidate stolen financial assets before detection and account shutdown, launder money by transforming illicit funds into physical goods that can be resold for “clean” proceeds, and obtain goods or services for personal use or profit without any intention of legitimate payment.
</t>
  </si>
  <si>
    <t>F1067</t>
  </si>
  <si>
    <t>Gather Victim Information</t>
  </si>
  <si>
    <t>Fraud actors may gather information about victims to support targeted fraud operations or social engineering attacks. This may include collecting personal information, financial information, relationship information, or behavioral information from public sources, data breaches, social media, or social engineering. Gathered information enables more convincing and targeted fraud attacks.</t>
  </si>
  <si>
    <t>F1068</t>
  </si>
  <si>
    <t>Geolocation Spoofing</t>
  </si>
  <si>
    <t>Fraud actors may falsify geographic location information to bypass location-based security controls or access restricted services. This may include using VPNs, proxy servers, GPS spoofing applications, or other techniques to mask true location. Location spoofing allows fraud actors to access geo-restricted content, bypass location-based fraud detection, or hide their true location during fraud operations.</t>
  </si>
  <si>
    <t>F1069</t>
  </si>
  <si>
    <t>Identity Theft for Merchant Accounts</t>
  </si>
  <si>
    <t>Fraud actors may use stolen identity information to establish fraudulent merchant accounts with payment processors. Fraudulent merchant accounts allow Fraud actors to process payments for non-existent goods or services, conduct money laundering operations, or establish infrastructure for payment card testing. Identity theft for merchant accounts provides fraud actors with legitimate-appearing payment processing capabilities.</t>
  </si>
  <si>
    <t>F1070</t>
  </si>
  <si>
    <t>Impersonate Account Holder</t>
  </si>
  <si>
    <t>Fraud actors may impersonate legitimate account holders when interacting with financial institutions or service providers. This may include using stolen personal information to answer authentication questions, conducting social engineering attacks while impersonating victims, or using compromised identity information to convince institutions to grant access or conduct transactions. Successful impersonation can bypass identity verification controls.</t>
  </si>
  <si>
    <t>Initial Access, Defense Evasion</t>
  </si>
  <si>
    <t>F1071</t>
  </si>
  <si>
    <t>Impersonate Official</t>
  </si>
  <si>
    <t>Fraud actors may impersonate officials such as bank representatives, law enforcement officers, government agents, or other authority figures to manipulate victims. By impersonating officials, fraud actors leverage the trust and authority associated with these positions to convince victims to provide sensitive information, authorize transactions, or take actions that facilitate fraud. Impersonation may occur through phone calls, emails, or in-person interactions.</t>
  </si>
  <si>
    <t>T1070</t>
  </si>
  <si>
    <t>Indicator Removal</t>
  </si>
  <si>
    <t>Fraud actors may delete or modify artifacts generated within systems to remove evidence of their presence or hinder defenses. Various artifacts may be created by a fraud actor or something that can be attributed to afraud actor’s actions. Typically these artifacts are used as defensive indicators related to monitored events, such as strings from downloaded files, logs that are generated from user actions, and other data analyzed by defenders. Location, format, and type of artifact (such as command or login history) are often specific to each platform.
Removal of these indicators may interfere with event collection, reporting, or other processes used to detect intrusion activity. This may compromise the integrity of security solutions by causing notable events to go unreported. This activity may also impede forensic analysis and incident response, due to lack of sufficient data to determine what occurred.</t>
  </si>
  <si>
    <t>F1072</t>
  </si>
  <si>
    <t>Insider Access Abuse</t>
  </si>
  <si>
    <t>Fraud actors may abuse legitimate access privileges to conduct fraud operations. This may include malicious insiders, compromised insiders, or exploitation of excessive access privileges by authorized users. Insider access provides fraud actors with legitimate credentials and authorization to access systems, data, or conduct transactions, making detection more difficult than external attacks.</t>
  </si>
  <si>
    <t>F1073</t>
  </si>
  <si>
    <t>IVR Discovery</t>
  </si>
  <si>
    <t>Fraud actors may interact with interactive voice response systems to understand call flows, authentication mechanisms, or available functions. By mapping IVR systems, fraud actors can identify opportunities for fraud, understand authentication requirements, or develop strategies for social engineering attacks against customer service representatives. IVR discovery may be automated or conducted manually to gather intelligence for fraud operations.</t>
  </si>
  <si>
    <t>F1074</t>
  </si>
  <si>
    <t>Mail Theft</t>
  </si>
  <si>
    <t>Fraud actors may steal physical mail to obtain financial information, payment cards, checks, or identity documents. Mail theft provides access to statements, new payment cards, checks, tax documents, or other financial materials that can be used for fraud. Stolen mail may be intercepted from mailboxes, during postal delivery, or from mail processing facilities.</t>
  </si>
  <si>
    <t>T1111</t>
  </si>
  <si>
    <t>Multi-Factor Authentication Interception</t>
  </si>
  <si>
    <t>Fraud actors may intercept multi-factor authentication credentials or tokens to bypass additional security controls. This may include intercepting SMS messages containing one-time codes, capturing push notification approvals, compromising hardware tokens, or exploiting vulnerabilities in MFA implementations. Successful MFA interception allows fraud actors to complete authentication despite not possessing legitimate MFA credentials.</t>
  </si>
  <si>
    <t>T1621</t>
  </si>
  <si>
    <t>Multi-Factor Authentication Request Generation</t>
  </si>
  <si>
    <t>Fraud actors may generate multiple MFA requests to overwhelm or pressure victims into approving fraudulent authentication attempts. This technique, often called MFA fatigue, involves repeatedly generating authentication requests until the victim approves access to stop the notifications. Fraud actors rely on user frustration, confusion, or mistakes to gain approval for unauthorized access attempts.</t>
  </si>
  <si>
    <t>F1089</t>
  </si>
  <si>
    <t>New Vendor Setup</t>
  </si>
  <si>
    <t>Fraud actors pretend to be existing or new vendors to trick organizations into paying fraudulent accounts. New vendor setup can be done through fake invoices, requests for banking information changes, or urgent payment requests.</t>
  </si>
  <si>
    <t>F1090</t>
  </si>
  <si>
    <t>NFC Payment</t>
  </si>
  <si>
    <t>Fraud actors exploit NFC (Near Field Communication) payments by using stolen or cloned NFC-enabled cards or mobile devices to make unauthorized transactions. They may intercept or manipulate NFC signals to initiate payments without the legitimate cardholder's knowledge or consent. By leveraging NFC technology, fraud actors can quickly and discreetly conduct fraudulent transactions, often evading traditional security measures such as PIN verification or signature requirements, leading to financial losses for both consumers and businesses.</t>
  </si>
  <si>
    <t>F1077</t>
  </si>
  <si>
    <t>Official Phone Number Spoofing</t>
  </si>
  <si>
    <t>Fraud actors manipulate caller ID information to display a legitimate phone number when communicating with victims, impersonating customer service hotlines, law enforcement, government agencies, financial institutions, or other trusted entities. This technique can lead to various types of illicit activities, such as phishing, where victims are tricked into entering sensitive information or performing unauthorized activities under the guise of official messages.</t>
  </si>
  <si>
    <t>F1091</t>
  </si>
  <si>
    <t>PAN/CVV Generation</t>
  </si>
  <si>
    <t>Fraud actors use PAN/CVV Generators to create valid credit card numbers (PANs) along with their corresponding Card Verification Values (CVVs), allowing fraud actors to bypass security measures and make unauthorized purchases. By generating PANs and CVVs, fraud actors can create counterfeit credit cards or conduct card-not-present transactions without physically possessing the victim's card.</t>
  </si>
  <si>
    <t>F1092</t>
  </si>
  <si>
    <t>PaReq Manipulation</t>
  </si>
  <si>
    <t>Fraud actors exploit Payment Authentication Requests (PaReqs) by manipulating the data within these requests to bypass security measures and gain unauthorized access to sensitive information or transactions. By altering the parameters or contents of PaReqs, they can trick payment systems into approving fraudulent transactions without proper authentication. This manipulation helps fraud actors evade detection by exploiting vulnerabilities in payment processing systems and bypassing security checks designed to prevent unauthorized access or fraudulent transactions.</t>
  </si>
  <si>
    <t>T1598</t>
  </si>
  <si>
    <t>Phishing for Information</t>
  </si>
  <si>
    <t>Fraud actors may send fraudulent communications designed to deceive victims into providing sensitive information, credentials, or payment information. Phishing may be conducted through email, SMS smishing, voice calls vishing, QR codes quishing, or other communication channels. Phishing messages typically impersonate trusted entities and create urgency to pressure victims into immediate action without careful consideration.</t>
  </si>
  <si>
    <t>T1598.004</t>
  </si>
  <si>
    <t>Phishing for Information: Spearphishing Voice</t>
  </si>
  <si>
    <t xml:space="preserve">Fraud actors may use voice communications to elicit sensitive information that can be used during targeting. Spearphishing for information is an attempt to trick targets into divulging information, frequently credentials or other actionable information. Spearphishing for information frequently involves social engineering techniques, such as posing as a source with a reason to collect information (ex: Impersonation) and/or creating a sense of urgency or alarm for the recipient.
All forms of phishing are electronically delivered social engineering. In this scenario, fraud actors use phone calls to elicit sensitive information from victims. Known as voice phishing (or "vishing"), these communications can be manually executed by fraud actors, hired call centers, or even automated via robocalls. Voice phishers may spoof their phone number while also posing as a trusted entity, such as a business partner or technical support staff.
Victims may also receive phishing messages that direct them to call a phone number ("callback phishing") where the fraud actor attempts to collect confidential information.
Fraud actors may also use information from previous reconnaissance efforts to tailor pretexts to be even more persuasive and believable for the victim.
</t>
  </si>
  <si>
    <t>F1082</t>
  </si>
  <si>
    <t>PIN-code Peeking</t>
  </si>
  <si>
    <t>Fraud actors observe or obtain personal identification numbers (PINs). Use of hidden cameras, skimming devices, or other covert methods to capture PINs at ATMs, point-of-sale terminals, or other PIN-entry locations.
Obtained PIN numbers used with other stolen information to compromise the victim's accounts or conduct fraudulent transactions.</t>
  </si>
  <si>
    <t>F1084</t>
  </si>
  <si>
    <t>QR Code Poisoning</t>
  </si>
  <si>
    <t>A social engineering attack vector disguised within a QR code, typically a "Login with QR Code" feature that presents a secure way to log into account, but enables fraud actors to highjack all applications relying on the compromised credentials.</t>
  </si>
  <si>
    <t>F1085</t>
  </si>
  <si>
    <t>Reactivate Account</t>
  </si>
  <si>
    <t>Fraud actors target inactive accounts because they are less likely to be monitored closely by the account holder or financial institution. They may attempt to reactivate the account through social engineering or by exploiting loopholes in the bank's security procedures. Once reactivated, they can use the account to launder money, deposit counterfeit checks, or engage in other fraudulent activities, taking advantage of the perceived lack of scrutiny on inactive accounts.</t>
  </si>
  <si>
    <t>T1219</t>
  </si>
  <si>
    <t>Remote Access Tools</t>
  </si>
  <si>
    <t>A fraud actor may use legitimate remote access tools to establish an interactive command and control channel within a network. Remote access tools create a session between two trusted hosts through a graphical interface, a command line interaction, a protocol tunnel via development or management software, or hardware-level access such as KVM (Keyboard, Video, Mouse) over IP solutions. Desktop support software (usually graphical interface) and remote management software (typically command line interface) allow a user to control a computer remotely as if they are a local user inheriting the user or software permissions. This software is commonly used for troubleshooting, software installation, and system management. Fraud actors may similarly abuse response features included in EDR and other defensive tools that enable remote access</t>
  </si>
  <si>
    <t>F1094</t>
  </si>
  <si>
    <t>Reversal of Transaction</t>
  </si>
  <si>
    <t>Fraud actors exploit the Reversal of Operation by initially conducting a legitimate transaction, such as purchasing goods or services. After the transaction is complete and the funds have been transferred, they then reverse the transaction, claiming it was unauthorized or fraudulent. This technique mya allow them to obtain the goods or services without actually paying for them, effectively evading detection and potentially causing financial loss to the legitimate party involved.</t>
  </si>
  <si>
    <t>F1095</t>
  </si>
  <si>
    <t>Scheduled Transfer</t>
  </si>
  <si>
    <t xml:space="preserve">Fraud actors use scheduled transfers to systematically move funds out of compromised accounts at predefined intervals. By creating or hijacking recurring payment instructions within online banking or payment services, they can quietly redirect money to accounts they control or to intermediaries that help conceal the origin of the funds.
Fraud actors may gain access to online banking or payment service accounts and configure new standing orders or modify existing ones to send funds to external destinations. These transfers are typically timed and sized to resemble normal business activity, helping them evade detection while routing money through shell entities, mule accounts, or cryptocurrency services as part of the laundering process.
</t>
  </si>
  <si>
    <t>T1113</t>
  </si>
  <si>
    <t>Screen Capture</t>
  </si>
  <si>
    <t>Fraud actors may attempt to take screen captures of the desktop to gather information over the course of an operation. Screen capturing functionality may be included as a feature of a remote access tool used in post-compromise operations. Taking a screenshot is also typically possible through native utilities or API calls, such as CopyFromScreen, xwd, or screencapture.</t>
  </si>
  <si>
    <t>T1451</t>
  </si>
  <si>
    <t>SIM Card Swap</t>
  </si>
  <si>
    <t>Unauthorized SIM changes including swapping to a new SIM card within the same carrier or porting the phone number to a new SIM card at a new carrier. This results in voice and SMS communications being redirected to the threat-actor.</t>
  </si>
  <si>
    <t>F1086</t>
  </si>
  <si>
    <t>Social Engineering</t>
  </si>
  <si>
    <t>Fraud actors may manipulate individuals into divulging sensitive information, authorizing transactions, or taking actions that compromise security. Social engineering exploits human psychology, trust, authority, fear, or urgency rather than technical vulnerabilities. Social engineering may be conducted through various communication channels and is often combined with other techniques to establish credibility or create pressure for immediate action.</t>
  </si>
  <si>
    <t>T1608</t>
  </si>
  <si>
    <t>Stage Capabilities</t>
  </si>
  <si>
    <t>Fraud actors may upload malicious content, establish fraud infrastructure, or position resources for delivery to victims. This may include hosting phishing websites, establishing command and control infrastructure, uploading malicious applications to app stores, or creating social media profiles for fraud operations. Staging activities prepare the technical infrastructure needed to execute fraud operations.</t>
  </si>
  <si>
    <t>T1608.006</t>
  </si>
  <si>
    <t>Stage Capabilities: SEO Poisoning</t>
  </si>
  <si>
    <t>Fraud actors may manipulate search engine optimization to position malicious websites prominently in search results for targeted keywords. SEO poisoning can make fraudulent websites, phishing pages, or malicious content appear in top search results for legitimate queries. This technique exploits user trust in search engines and may target users searching for customer service contact information, software downloads, or financial services.</t>
  </si>
  <si>
    <t>T1539</t>
  </si>
  <si>
    <t>Steal Web Session Cookie</t>
  </si>
  <si>
    <t>A fraud actor may steal web application or service session cookies and use them to gain access to web applications or Internet services as an authenticated user without needing credentials. Web applications and services often use session cookies as an authentication token after a user has authenticated to a website.
Cookies are often valid for an extended period of time, even if the web application is not actively used. Cookies can be found on disk, in the process memory of the browser, and in network traffic to remote systems. Additionally, other applications on the targets machine might store sensitive authentication cookies in memory (e.g. apps which authenticate to cloud services). Session cookies can be used to bypasses some multi-factor authentication protocols.
There are several examples of malware targeting cookies from web browsers on the local system. Fraud actors may also steal cookies by injecting malicious JavaScript content into websites or relying on User Execution by tricking victims into running malicious JavaScript in their browser.
There are also open source frameworks such as Evilginx2 and Muraena that can gather session cookies through a malicious proxy (e.g., Adversary-in-the-Middle) that can be set up by a fraud actor and used in phishing campaigns.
After a fraud actor acquires a valid cookie, they can then perform a Web Session Cookie technique to login to the corresponding web application.</t>
  </si>
  <si>
    <t>Reconnaissance, Positioning</t>
  </si>
  <si>
    <t>F1087</t>
  </si>
  <si>
    <t>Structuring</t>
  </si>
  <si>
    <t>Parceling large transactions, locations or other account activity to subvert fraud detection and CTR/SAR reporting. Fraud actors will use structuring to keep their fraudulent activity from detection or alerts.</t>
  </si>
  <si>
    <t>T1195</t>
  </si>
  <si>
    <t>Supply Chain Compromise</t>
  </si>
  <si>
    <t>Fraud actors may manipulate products or product delivery mechanisms prior to receipt by a final consumer for the purpose of data or system compromise.
Supply chain compromise can take place at any stage of the supply chain including:
- Manipulation of development tools
- Manipulation of a development environment
- Manipulation of source code repositories (public or private)
- Manipulation of source code in open-source dependencies
- Manipulation of software update/distribution mechanisms
- Compromised/infected system images (removable media infected at the factory)
- Replacement of legitimate software with modified versions
- Sales of modified/counterfeit products to legitimate distributors
- Shipment interdiction
While supply chain compromise can impact any component of hardware or software, fraud actors looking to gain execution have often focused on malicious additions to legitimate software in software distribution or update channels. Fraud actors may limit targeting to a desired victim set or distribute malicious software to a broad set of consumers but only follow up with specific victims. Popular open-source projects that are used as dependencies in many applications may also be targeted as a means to add malicious code to users of the dependency.
In some cases, fraud actors may conduct "second-order" supply chain compromises by leveraging the access gained from an initial supply chain compromise to further compromise a software component. This may allow the threat actor to spread to even more victims.</t>
  </si>
  <si>
    <t>F1096</t>
  </si>
  <si>
    <t>Testing Payment Thresholds</t>
  </si>
  <si>
    <t>Fraud actors conduct small-scale transactions to identify vulnerable accounts with sufficient funds. By staying within the payment thresholds, they avoid raising suspicion while accumulating information. This approach enables them to strategically target accounts with significant balances for larger-scale fraudulent activities.</t>
  </si>
  <si>
    <t>Use Alternate Authentication Material</t>
  </si>
  <si>
    <t>Fraud actors may use authentication materials other than passwords to gain unauthorized access to accounts or systems. This may include using stolen authentication tokens, session cookies, API keys, or biometric data. Alternate authentication materials may be longer-lived than passwords, may not trigger password-based security controls, or may be easier to steal than passwords in certain scenarios.</t>
  </si>
  <si>
    <t>T1555.002</t>
  </si>
  <si>
    <t>Use Alternate Authentication Material: Application Access Token</t>
  </si>
  <si>
    <t>Fraud actors may use stolen application access tokens to authenticate to services without requiring passwords or MFA. Access tokens are often long-lived, may have broad permissions, and may not be protected as carefully as passwords. Stolen tokens can be obtained through malware, phishing, insecure storage, or compromised applications. Using stolen tokens allows fraud actors to bypass password-based authentication controls and may not trigger alerts for unusual login locations.</t>
  </si>
  <si>
    <t>F1097</t>
  </si>
  <si>
    <t>c</t>
  </si>
  <si>
    <t>Fraud actors use virtual cards for money laundering because they provide anonymity, flexibility, and ease of use in online transactions. Virtual cards are often obtained with less stringent identity verification, making it easier to conceal illicit financial activities. Their disposability allows fraud actors to use them for a series of transactions and then discard them, reducing traceability.
These cards are beneficial for cross-border transactions, enabling fraud actors to move funds quickly across jurisdictions, and complicating efforts to track money flows. Virtual cards can also be employed to create complex layers of transactions, often used in "layering" within money laundering schemes to obscure the origin of funds. This flexibility makes virtual cards a convenient tool for converting illicit funds into legitimate assets without raising suspicion.</t>
  </si>
  <si>
    <t>F1098</t>
  </si>
  <si>
    <t>Website Cloning</t>
  </si>
  <si>
    <t>Website cloning is a technique whereby cybercriminals create a replica of a legitimate website with the intent to deceive visitors. The cloned website mimics the design, layout, and functionality of the original site, but is controlled by the fraud actor. Users are often directed to these fraudulent sites via phishing emails, social media links, or through search engine manipulation. Once on the cloned site, visitors may unknowingly provide sensitive information such as login credentials, financial data, or personal details.
Execution: 
Fraudsters create a cloned website by copying the source code of the legitimate site and hosting it on a different server, often with a similar domain name designed to confuse potential victims (a practice known as "typosquatting"). They might also inject malicious scripts into the cloned site for additional nefarious activities, such as capturing keystrokes or redirecting payments.
Examples:
An imposter copies a bank's website to a domain that is off by one letter, hoping customers will not notice the URL difference and will enter their online banking credentials.
Cloning an online retailer's website around the holiday shopping season, tricking shoppers into "purchasing" high-demand items that will never be shipped‚ while collecting their credit card information.
Creating a duplicate of a popular software download site to distribute malware-laden versions of the software.
Goals: The primary goals of website cloning are to:
Capture sensitive information from users by convincing them they are interacting with the legitimate site.
Facilitate financial fraud by misleading customers into making payments or donations, which are then rerouted to the fraudster.
Distribute malware that can result in further exploitation of the victim's device for financial gain, data theft, or unauthorized access to secure networks.
Damage the reputation and trust of the legitimate site owner, which can have long-term business consequences.</t>
  </si>
  <si>
    <t>F1044</t>
  </si>
  <si>
    <t>Withdraw Money</t>
  </si>
  <si>
    <t xml:space="preserve">Fraudsters may convert compromised account balances into physical funds by initiating in‑person cash movements such as ATM withdrawals, cashier’s checks, money orders, or similar instruments. These withdrawals remove value from financial accounts in ways that can be quickly spent, transported, or layered through additional transactions to obscure the origin of the funds.
</t>
  </si>
  <si>
    <t>F1044.002</t>
  </si>
  <si>
    <t>Withdraw Money: Electronic Withdrawal</t>
  </si>
  <si>
    <t xml:space="preserve">Fraudsters may deplete compromised accounts by initiating electronic fund movements such as wire transfers, regional payment rails (ACH or SEPA), other electronic funds transfers, or conversion of balances into cryptocurrency. These withdrawals move value rapidly across payment rails or into pseudo‑anonymous assets, making recovery and tracing of funds more difficult.
</t>
  </si>
  <si>
    <t>F1044.001</t>
  </si>
  <si>
    <t>Withdraw Money: Physical Withdrawal</t>
  </si>
  <si>
    <t>Fraudsters may convert compromised account balances into physical funds by obtaining cash or cash‑like instruments, including ATM withdrawals, cashier’s checks, money orders, or similar negotiable instruments. Physical withdrawals allow immediate spending or further layering of funds outside of the original financial channel</t>
  </si>
  <si>
    <t>F1099</t>
  </si>
  <si>
    <t>Withdrawal by Legitimate Account Owner</t>
  </si>
  <si>
    <t>Fraud actors may exploit the Withdrawal by Legitimate Account Owner defence to evade detection by conducting illicit transactions that appear legitimate on the surface. They might coerce or deceive account holders into making withdrawals or transfers under false pretences, using their legitimate access to financial accounts. By leveraging this defence, fraud actors can obscure their illicit activities, making it harder for authorities to identify and prosecute them, as the transactions initially appear to be authorized by the account owner.</t>
  </si>
  <si>
    <t>Tactic Description</t>
  </si>
  <si>
    <t>TA0043</t>
  </si>
  <si>
    <t>The fraud actor's actions to gather information they can use to plan future operations, including both cyber intrusions and attempted fraud. 
Reconnaissance consists of techniques that involve fraud actors actively or passively gathering information that can be used to support targeting. Such information may include details of the victim organization, infrastructure, or staff/personnel. This information can be leveraged by the fraud actor to aid in other phases of the fraud lifecycle, such as using gathered information to plan and execute Initial Access, to scope and prioritize post-compromise objectives, or to drive and lead further Reconnaissance efforts.</t>
  </si>
  <si>
    <t>TA0042</t>
  </si>
  <si>
    <t>The fraud actor's actions to establish resources they can use to support both cyber and fraud activities. 
Resource Development consists of techniques that involve fraud actors creating, purchasing, or compromising/stealing resources that can be used to support targeting. Such resources include infrastructure, accounts, or capabilities. These resources can be leveraged by the fraud actor to aid in other phases of the fraud lifecycle, such as using purchased domains to support Execution, email accounts for phishing as a part of Initial Access, or spoofing to help with Defense Evasion.</t>
  </si>
  <si>
    <t>TA0001</t>
  </si>
  <si>
    <t>The fraud actor's actions to gain a foothold in a selected environment.  
Initial Access consists of techniques that use various entry vectors to gain their initial foothold within a selected environment. Techniques used to gain a foothold include targeted spearphishing and exploiting weaknesses in browsers. Footholds gained through initial access may allow for continued access, like compromise accounts and use of external remote services, or may be limited-use due to changing passwords.</t>
  </si>
  <si>
    <t>TA0005</t>
  </si>
  <si>
    <t>The fraud actor's actions to avoid being detected.
Defense Evasion consists of techniques that fraud actors use to avoid detection throughout their compromise. Techniques used for defense evasion include phone number spoofing or social engineering. Fraud actors also leverage and abuse trusted processes to hide and masquerade their activities. Other tactics’ techniques are cross-listed here when those techniques include the added benefit of subverting defenses.</t>
  </si>
  <si>
    <t>FA0001</t>
  </si>
  <si>
    <t>The fraud actor's actions in a selected environment, after initial access, to collect or manipulate data or otherwise prepare for execution. 
Positioning consists of techniques that involve fraud actors gathering sensitive information, altering account configurations, manipulating transaction parameters, or establishing conditions necessary for successful fraud operations. These preparatory activities enable fraud actors to maximize the value extracted during fraud execution or establish persistent access for future operations.</t>
  </si>
  <si>
    <t>TA0002</t>
  </si>
  <si>
    <t>The fraud actor's actions to run malicious code or initiate fraudulent transactions that will convert stolen data to money. 
Execution consists of techniques that result in fraud actor‑controlled code or actions running on a local, remote, or transaction‑processing system. Techniques that run malicious code or automate actions are often paired with other tactics to achieve broader goals, such as exploring a network, manipulating applications, initiating unauthorized payments, or altering transaction data to support fraud. For example, a fraud actor might use a remote access tool to run a PowerShell script that performs Remote System Discovery and then launch scripts or bots that submit fraudulent transfers, modify payment instructions, or replay payment messages through compromised banking or merchant platforms.</t>
  </si>
  <si>
    <t>FA0002</t>
  </si>
  <si>
    <t>The fraud actor's actions to convert assets, often stolen, into usable funds or value in their possession.
Fraud actors may convert fraudulently obtained funds or assets into a form they can utilize or transfer to their possession. Monetization consists of techniques that involve fraud actors liquidating stolen digital assets, transferring funds from compromised accounts, converting fraud proceeds into difficult-to-trace monetary instruments, or manipulating markets. These techniques represent the final stages of fraud operations where fraud actors secure their gains and attempt to obscure the transaction trail.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</si>
</sst>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font>
      <sz val="11"/>
      <color theme="1"/>
      <name val="Calibri"/>
      <family val="2"/>
      <scheme val="minor"/>
    </font>
    <font>
      <b/>
      <sz val="11"/>
      <name val="Calibri"/>
      <family val="2"/>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rgb="FFDCE6F1"/>
        <bgColor indexed="64"/>
      </patternFill>
    </fill>
  </fills>
  <borders count="6">
    <border>
      <left/>
      <right/>
      <top/>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right/>
      <top style="thin">
        <color theme="4" tint="0.39997558519241921"/>
      </top>
      <bottom style="thin">
        <color theme="4" tint="0.39997558519241921"/>
      </bottom>
      <diagonal/>
    </border>
    <border>
      <left/>
      <right style="thin">
        <color auto="1"/>
      </right>
      <top style="thin">
        <color theme="4" tint="0.39997558519241921"/>
      </top>
      <bottom style="thin">
        <color theme="4" tint="0.39997558519241921"/>
      </bottom>
      <diagonal/>
    </border>
  </borders>
  <cellStyleXfs count="1">
    <xf numFmtId="0" fontId="0" fillId="0" borderId="0"/>
  </cellStyleXfs>
  <cellXfs count="13">
    <xf numFmtId="0" fontId="0" fillId="0" borderId="0" xfId="0"/>
    <xf numFmtId="0" fontId="1" fillId="0" borderId="2" xfId="0" applyFont="1" applyBorder="1" applyAlignment="1">
      <alignment horizontal="center" vertical="top" wrapText="1"/>
    </xf>
    <xf numFmtId="0" fontId="1" fillId="0" borderId="1" xfId="0" applyFont="1" applyBorder="1" applyAlignment="1">
      <alignment horizontal="center" vertical="top" wrapText="1"/>
    </xf>
    <xf numFmtId="0" fontId="0" fillId="0" borderId="0" xfId="0" applyAlignment="1">
      <alignment wrapText="1"/>
    </xf>
    <xf numFmtId="0" fontId="1" fillId="0" borderId="3" xfId="0" applyFont="1" applyBorder="1" applyAlignment="1">
      <alignment horizontal="center" vertical="top" wrapText="1"/>
    </xf>
    <xf numFmtId="0" fontId="1" fillId="2" borderId="3" xfId="0" applyFont="1" applyFill="1" applyBorder="1" applyAlignment="1">
      <alignment horizontal="center" vertical="top" wrapText="1"/>
    </xf>
    <xf numFmtId="0" fontId="0" fillId="3" borderId="4" xfId="0" applyFill="1" applyBorder="1" applyAlignment="1">
      <alignment wrapText="1"/>
    </xf>
    <xf numFmtId="0" fontId="0" fillId="3" borderId="5" xfId="0" applyFill="1" applyBorder="1" applyAlignment="1">
      <alignment wrapText="1"/>
    </xf>
    <xf numFmtId="0" fontId="0" fillId="0" borderId="4" xfId="0" applyBorder="1" applyAlignment="1">
      <alignment wrapText="1"/>
    </xf>
    <xf numFmtId="0" fontId="0" fillId="0" borderId="5" xfId="0" applyBorder="1" applyAlignment="1">
      <alignment wrapText="1"/>
    </xf>
    <xf numFmtId="0" fontId="0" fillId="4" borderId="4" xfId="0" applyFill="1" applyBorder="1" applyAlignment="1">
      <alignment wrapText="1"/>
    </xf>
    <xf numFmtId="0" fontId="0" fillId="4" borderId="5" xfId="0" applyFill="1" applyBorder="1" applyAlignment="1">
      <alignment wrapText="1"/>
    </xf>
    <xf numFmtId="0" fontId="0" fillId="0" borderId="0" xfId="0" applyAlignment="1">
      <alignment vertical="center" wrapText="1"/>
    </xf>
  </cellXfs>
  <cellStyles count="1">
    <cellStyle name="Normal" xfId="0" builtinId="0"/>
  </cellStyles>
  <dxfs count="11">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border outline="0">
        <bottom style="thin">
          <color auto="1"/>
        </bottom>
      </border>
    </dxf>
    <dxf>
      <border diagonalUp="0" diagonalDown="0">
        <left style="thin">
          <color auto="1"/>
        </left>
        <right style="thin">
          <color auto="1"/>
        </right>
        <top style="thin">
          <color auto="1"/>
        </top>
        <bottom style="thin">
          <color auto="1"/>
        </bottom>
      </border>
    </dxf>
    <dxf>
      <alignment horizontal="general" vertical="center" textRotation="0" wrapText="1" indent="0" justifyLastLine="0" shrinkToFit="0" readingOrder="0"/>
    </dxf>
    <dxf>
      <font>
        <b/>
        <i val="0"/>
        <strike val="0"/>
        <condense val="0"/>
        <extend val="0"/>
        <outline val="0"/>
        <shadow val="0"/>
        <u val="none"/>
        <vertAlign val="baseline"/>
        <sz val="11"/>
        <color auto="1"/>
        <name val="Calibri"/>
        <family val="2"/>
        <scheme val="none"/>
      </font>
      <alignment horizontal="center" vertical="top" textRotation="0" wrapText="1" indent="0" justifyLastLine="0" shrinkToFit="0" readingOrder="0"/>
      <border diagonalUp="0" diagonalDown="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829350F-F784-AD40-BAE6-4EE6174009A7}" name="Table1" displayName="Table1" ref="A1:G1048565" totalsRowShown="0" headerRowDxfId="10" dataDxfId="9" headerRowBorderDxfId="7" tableBorderDxfId="8">
  <autoFilter ref="A1:G1048565" xr:uid="{5829350F-F784-AD40-BAE6-4EE6174009A7}"/>
  <sortState xmlns:xlrd2="http://schemas.microsoft.com/office/spreadsheetml/2017/richdata2" ref="A2:G123">
    <sortCondition ref="B1:B1048565"/>
  </sortState>
  <tableColumns count="7">
    <tableColumn id="1" xr3:uid="{3D949CA5-B537-5246-AAD5-602C133940C8}" name="Technique ID" dataDxfId="6"/>
    <tableColumn id="2" xr3:uid="{74652116-25D3-8046-9C36-26586BAFBFEF}" name="Technique" dataDxfId="5"/>
    <tableColumn id="3" xr3:uid="{A9BFF3EC-7D87-DD4A-A482-10EA056B532E}" name="Description" dataDxfId="4"/>
    <tableColumn id="4" xr3:uid="{84FE6BD4-C627-014A-AD16-6A3FC8F8AA81}" name="Tactic ID" dataDxfId="3"/>
    <tableColumn id="5" xr3:uid="{CC99CB09-F797-E74B-88ED-B4281EC02CCE}" name="Tactic Name" dataDxfId="2"/>
    <tableColumn id="7" xr3:uid="{59D2F6CE-E53A-E141-9556-311B3302D753}" name="Reviewer" dataDxfId="1"/>
    <tableColumn id="8" xr3:uid="{BD2CDFAC-0D0E-AE4F-962A-AE16B32F246F}" name="Comment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23"/>
  <sheetViews>
    <sheetView tabSelected="1" workbookViewId="0">
      <pane ySplit="1" topLeftCell="A23" activePane="bottomLeft" state="frozen"/>
      <selection pane="bottomLeft" activeCell="A26" sqref="A26"/>
    </sheetView>
  </sheetViews>
  <sheetFormatPr defaultColWidth="8.85546875" defaultRowHeight="14.45"/>
  <cols>
    <col min="1" max="1" width="16.28515625" style="12" bestFit="1" customWidth="1"/>
    <col min="2" max="2" width="28.85546875" style="12" customWidth="1"/>
    <col min="3" max="3" width="75.7109375" style="12" customWidth="1"/>
    <col min="4" max="4" width="8.42578125" style="12" customWidth="1"/>
    <col min="5" max="5" width="13.85546875" style="12" customWidth="1"/>
    <col min="6" max="6" width="28.42578125" style="12" customWidth="1"/>
    <col min="7" max="7" width="30.28515625" style="12" customWidth="1"/>
  </cols>
  <sheetData>
    <row r="1" spans="1:7">
      <c r="A1" s="1" t="s">
        <v>0</v>
      </c>
      <c r="B1" s="2" t="s">
        <v>1</v>
      </c>
      <c r="C1" s="4" t="s">
        <v>2</v>
      </c>
      <c r="D1" s="2" t="s">
        <v>3</v>
      </c>
      <c r="E1" s="2" t="s">
        <v>4</v>
      </c>
      <c r="F1" s="2" t="s">
        <v>5</v>
      </c>
      <c r="G1" s="2" t="s">
        <v>6</v>
      </c>
    </row>
    <row r="2" spans="1:7" ht="101.45">
      <c r="A2" s="12" t="s">
        <v>7</v>
      </c>
      <c r="B2" s="12" t="s">
        <v>8</v>
      </c>
      <c r="C2" s="12" t="s">
        <v>9</v>
      </c>
      <c r="D2" s="12" t="str">
        <f>IF(ISERROR(FIND(",",E2)),INDEX(Tactics!$A$2:$A$8,MATCH(TRIM(E2),Tactics!$B$2:$B$8,0)),_xlfn.TEXTJOIN(", ",TRUE,INDEX(Tactics!$A$2:$A$8,MATCH(TRIM(LEFT(E2,FIND(",",E2)-1)),Tactics!$B$2:$B$8,0)),INDEX(Tactics!$A$2:$A$8,MATCH(TRIM(MID(E2,FIND(",",E2)+1,LEN(E2))),Tactics!$B$2:$B$8,0))))</f>
        <v>TA0005</v>
      </c>
      <c r="E2" s="12" t="s">
        <v>10</v>
      </c>
    </row>
    <row r="3" spans="1:7" ht="101.45">
      <c r="A3" s="12" t="s">
        <v>11</v>
      </c>
      <c r="B3" s="12" t="s">
        <v>12</v>
      </c>
      <c r="C3" s="12" t="s">
        <v>13</v>
      </c>
      <c r="D3" s="12" t="str">
        <f>IF(ISERROR(FIND(",",E3)),INDEX(Tactics!$A$2:$A$8,MATCH(TRIM(E3),Tactics!$B$2:$B$8,0)),_xlfn.TEXTJOIN(", ",TRUE,INDEX(Tactics!$A$2:$A$8,MATCH(TRIM(LEFT(E3,FIND(",",E3)-1)),Tactics!$B$2:$B$8,0)),INDEX(Tactics!$A$2:$A$8,MATCH(TRIM(MID(E3,FIND(",",E3)+1,LEN(E3))),Tactics!$B$2:$B$8,0))))</f>
        <v>FA0001</v>
      </c>
      <c r="E3" s="12" t="s">
        <v>14</v>
      </c>
    </row>
    <row r="4" spans="1:7" ht="72.599999999999994">
      <c r="A4" s="12" t="s">
        <v>15</v>
      </c>
      <c r="B4" s="12" t="s">
        <v>16</v>
      </c>
      <c r="C4" s="12" t="s">
        <v>17</v>
      </c>
      <c r="D4" s="12" t="str">
        <f>IF(ISERROR(FIND(",",E4)),INDEX(Tactics!$A$2:$A$8,MATCH(TRIM(E4),Tactics!$B$2:$B$8,0)),_xlfn.TEXTJOIN(", ",TRUE,INDEX(Tactics!$A$2:$A$8,MATCH(TRIM(LEFT(E4,FIND(",",E4)-1)),Tactics!$B$2:$B$8,0)),INDEX(Tactics!$A$2:$A$8,MATCH(TRIM(MID(E4,FIND(",",E4)+1,LEN(E4))),Tactics!$B$2:$B$8,0))))</f>
        <v>TA0001, TA0002</v>
      </c>
      <c r="E4" s="12" t="s">
        <v>18</v>
      </c>
    </row>
    <row r="5" spans="1:7" ht="72.599999999999994">
      <c r="A5" s="12" t="s">
        <v>19</v>
      </c>
      <c r="B5" s="12" t="s">
        <v>20</v>
      </c>
      <c r="C5" s="12" t="s">
        <v>21</v>
      </c>
      <c r="D5" s="12" t="str">
        <f>IF(ISERROR(FIND(",",E5)),INDEX(Tactics!$A$2:$A$8,MATCH(TRIM(E5),Tactics!$B$2:$B$8,0)),_xlfn.TEXTJOIN(", ",TRUE,INDEX(Tactics!$A$2:$A$8,MATCH(TRIM(LEFT(E5,FIND(",",E5)-1)),Tactics!$B$2:$B$8,0)),INDEX(Tactics!$A$2:$A$8,MATCH(TRIM(MID(E5,FIND(",",E5)+1,LEN(E5))),Tactics!$B$2:$B$8,0))))</f>
        <v>TA0001, TA0002</v>
      </c>
      <c r="E5" s="12" t="s">
        <v>18</v>
      </c>
    </row>
    <row r="6" spans="1:7" ht="87">
      <c r="A6" s="12" t="s">
        <v>22</v>
      </c>
      <c r="B6" s="12" t="s">
        <v>23</v>
      </c>
      <c r="C6" s="12" t="s">
        <v>24</v>
      </c>
      <c r="D6" s="12" t="str">
        <f>IF(ISERROR(FIND(",",E6)),INDEX(Tactics!$A$2:$A$8,MATCH(TRIM(E6),Tactics!$B$2:$B$8,0)),_xlfn.TEXTJOIN(", ",TRUE,INDEX(Tactics!$A$2:$A$8,MATCH(TRIM(LEFT(E6,FIND(",",E6)-1)),Tactics!$B$2:$B$8,0)),INDEX(Tactics!$A$2:$A$8,MATCH(TRIM(MID(E6,FIND(",",E6)+1,LEN(E6))),Tactics!$B$2:$B$8,0))))</f>
        <v>TA0001, TA0002</v>
      </c>
      <c r="E6" s="12" t="s">
        <v>18</v>
      </c>
    </row>
    <row r="7" spans="1:7" ht="72.599999999999994">
      <c r="A7" s="12" t="s">
        <v>25</v>
      </c>
      <c r="B7" s="12" t="s">
        <v>26</v>
      </c>
      <c r="C7" s="12" t="s">
        <v>27</v>
      </c>
      <c r="D7" s="12" t="str">
        <f>IF(ISERROR(FIND(",",E7)),INDEX(Tactics!$A$2:$A$8,MATCH(TRIM(E7),Tactics!$B$2:$B$8,0)),_xlfn.TEXTJOIN(", ",TRUE,INDEX(Tactics!$A$2:$A$8,MATCH(TRIM(LEFT(E7,FIND(",",E7)-1)),Tactics!$B$2:$B$8,0)),INDEX(Tactics!$A$2:$A$8,MATCH(TRIM(MID(E7,FIND(",",E7)+1,LEN(E7))),Tactics!$B$2:$B$8,0))))</f>
        <v>TA0002</v>
      </c>
      <c r="E7" s="12" t="s">
        <v>28</v>
      </c>
    </row>
    <row r="8" spans="1:7" ht="87">
      <c r="A8" s="12" t="s">
        <v>29</v>
      </c>
      <c r="B8" s="12" t="s">
        <v>30</v>
      </c>
      <c r="C8" s="12" t="s">
        <v>31</v>
      </c>
      <c r="D8" s="12" t="str">
        <f>IF(ISERROR(FIND(",",E8)),INDEX(Tactics!$A$2:$A$8,MATCH(TRIM(E8),Tactics!$B$2:$B$8,0)),_xlfn.TEXTJOIN(", ",TRUE,INDEX(Tactics!$A$2:$A$8,MATCH(TRIM(LEFT(E8,FIND(",",E8)-1)),Tactics!$B$2:$B$8,0)),INDEX(Tactics!$A$2:$A$8,MATCH(TRIM(MID(E8,FIND(",",E8)+1,LEN(E8))),Tactics!$B$2:$B$8,0))))</f>
        <v>TA0001, FA0001</v>
      </c>
      <c r="E8" s="12" t="s">
        <v>32</v>
      </c>
    </row>
    <row r="9" spans="1:7" ht="72.599999999999994">
      <c r="A9" s="12" t="s">
        <v>33</v>
      </c>
      <c r="B9" s="12" t="s">
        <v>34</v>
      </c>
      <c r="C9" s="12" t="s">
        <v>35</v>
      </c>
      <c r="D9" s="12" t="str">
        <f>IF(ISERROR(FIND(",",E9)),INDEX(Tactics!$A$2:$A$8,MATCH(TRIM(E9),Tactics!$B$2:$B$8,0)),_xlfn.TEXTJOIN(", ",TRUE,INDEX(Tactics!$A$2:$A$8,MATCH(TRIM(LEFT(E9,FIND(",",E9)-1)),Tactics!$B$2:$B$8,0)),INDEX(Tactics!$A$2:$A$8,MATCH(TRIM(MID(E9,FIND(",",E9)+1,LEN(E9))),Tactics!$B$2:$B$8,0))))</f>
        <v>TA0001</v>
      </c>
      <c r="E9" s="12" t="s">
        <v>36</v>
      </c>
    </row>
    <row r="10" spans="1:7" ht="72.599999999999994">
      <c r="A10" s="12" t="s">
        <v>37</v>
      </c>
      <c r="B10" s="12" t="s">
        <v>38</v>
      </c>
      <c r="C10" s="12" t="s">
        <v>39</v>
      </c>
      <c r="D10" s="12" t="str">
        <f>IF(ISERROR(FIND(",",E10)),INDEX(Tactics!$A$2:$A$8,MATCH(TRIM(E10),Tactics!$B$2:$B$8,0)),_xlfn.TEXTJOIN(", ",TRUE,INDEX(Tactics!$A$2:$A$8,MATCH(TRIM(LEFT(E10,FIND(",",E10)-1)),Tactics!$B$2:$B$8,0)),INDEX(Tactics!$A$2:$A$8,MATCH(TRIM(MID(E10,FIND(",",E10)+1,LEN(E10))),Tactics!$B$2:$B$8,0))))</f>
        <v>FA0001</v>
      </c>
      <c r="E10" s="12" t="s">
        <v>14</v>
      </c>
    </row>
    <row r="11" spans="1:7" ht="72.599999999999994">
      <c r="A11" s="12" t="s">
        <v>40</v>
      </c>
      <c r="B11" s="12" t="s">
        <v>41</v>
      </c>
      <c r="C11" s="12" t="s">
        <v>42</v>
      </c>
      <c r="D11" s="12" t="str">
        <f>IF(ISERROR(FIND(",",E11)),INDEX(Tactics!$A$2:$A$8,MATCH(TRIM(E11),Tactics!$B$2:$B$8,0)),_xlfn.TEXTJOIN(", ",TRUE,INDEX(Tactics!$A$2:$A$8,MATCH(TRIM(LEFT(E11,FIND(",",E11)-1)),Tactics!$B$2:$B$8,0)),INDEX(Tactics!$A$2:$A$8,MATCH(TRIM(MID(E11,FIND(",",E11)+1,LEN(E11))),Tactics!$B$2:$B$8,0))))</f>
        <v>FA0001</v>
      </c>
      <c r="E11" s="12" t="s">
        <v>14</v>
      </c>
    </row>
    <row r="12" spans="1:7" ht="87">
      <c r="A12" s="12" t="s">
        <v>43</v>
      </c>
      <c r="B12" s="12" t="s">
        <v>44</v>
      </c>
      <c r="C12" s="12" t="s">
        <v>45</v>
      </c>
      <c r="D12" s="12" t="str">
        <f>IF(ISERROR(FIND(",",E12)),INDEX(Tactics!$A$2:$A$8,MATCH(TRIM(E12),Tactics!$B$2:$B$8,0)),_xlfn.TEXTJOIN(", ",TRUE,INDEX(Tactics!$A$2:$A$8,MATCH(TRIM(LEFT(E12,FIND(",",E12)-1)),Tactics!$B$2:$B$8,0)),INDEX(Tactics!$A$2:$A$8,MATCH(TRIM(MID(E12,FIND(",",E12)+1,LEN(E12))),Tactics!$B$2:$B$8,0))))</f>
        <v>FA0001</v>
      </c>
      <c r="E12" s="12" t="s">
        <v>14</v>
      </c>
    </row>
    <row r="13" spans="1:7" ht="87">
      <c r="A13" s="12" t="s">
        <v>46</v>
      </c>
      <c r="B13" s="12" t="s">
        <v>47</v>
      </c>
      <c r="C13" s="12" t="s">
        <v>48</v>
      </c>
      <c r="D13" s="12" t="str">
        <f>IF(ISERROR(FIND(",",E13)),INDEX(Tactics!$A$2:$A$8,MATCH(TRIM(E13),Tactics!$B$2:$B$8,0)),_xlfn.TEXTJOIN(", ",TRUE,INDEX(Tactics!$A$2:$A$8,MATCH(TRIM(LEFT(E13,FIND(",",E13)-1)),Tactics!$B$2:$B$8,0)),INDEX(Tactics!$A$2:$A$8,MATCH(TRIM(MID(E13,FIND(",",E13)+1,LEN(E13))),Tactics!$B$2:$B$8,0))))</f>
        <v>FA0001</v>
      </c>
      <c r="E13" s="12" t="s">
        <v>14</v>
      </c>
    </row>
    <row r="14" spans="1:7" ht="72.599999999999994">
      <c r="A14" s="12" t="s">
        <v>49</v>
      </c>
      <c r="B14" s="12" t="s">
        <v>50</v>
      </c>
      <c r="C14" s="12" t="s">
        <v>51</v>
      </c>
      <c r="D14" s="12" t="str">
        <f>IF(ISERROR(FIND(",",E14)),INDEX(Tactics!$A$2:$A$8,MATCH(TRIM(E14),Tactics!$B$2:$B$8,0)),_xlfn.TEXTJOIN(", ",TRUE,INDEX(Tactics!$A$2:$A$8,MATCH(TRIM(LEFT(E14,FIND(",",E14)-1)),Tactics!$B$2:$B$8,0)),INDEX(Tactics!$A$2:$A$8,MATCH(TRIM(MID(E14,FIND(",",E14)+1,LEN(E14))),Tactics!$B$2:$B$8,0))))</f>
        <v>FA0001</v>
      </c>
      <c r="E14" s="12" t="s">
        <v>14</v>
      </c>
    </row>
    <row r="15" spans="1:7" ht="72.599999999999994">
      <c r="A15" s="12" t="s">
        <v>52</v>
      </c>
      <c r="B15" s="12" t="s">
        <v>53</v>
      </c>
      <c r="C15" s="12" t="s">
        <v>54</v>
      </c>
      <c r="D15" s="12" t="str">
        <f>IF(ISERROR(FIND(",",E15)),INDEX(Tactics!$A$2:$A$8,MATCH(TRIM(E15),Tactics!$B$2:$B$8,0)),_xlfn.TEXTJOIN(", ",TRUE,INDEX(Tactics!$A$2:$A$8,MATCH(TRIM(LEFT(E15,FIND(",",E15)-1)),Tactics!$B$2:$B$8,0)),INDEX(Tactics!$A$2:$A$8,MATCH(TRIM(MID(E15,FIND(",",E15)+1,LEN(E15))),Tactics!$B$2:$B$8,0))))</f>
        <v>FA0001</v>
      </c>
      <c r="E15" s="12" t="s">
        <v>14</v>
      </c>
    </row>
    <row r="16" spans="1:7" ht="72.599999999999994">
      <c r="A16" s="12" t="s">
        <v>55</v>
      </c>
      <c r="B16" s="12" t="s">
        <v>56</v>
      </c>
      <c r="C16" s="12" t="s">
        <v>57</v>
      </c>
      <c r="D16" s="12" t="str">
        <f>IF(ISERROR(FIND(",",E16)),INDEX(Tactics!$A$2:$A$8,MATCH(TRIM(E16),Tactics!$B$2:$B$8,0)),_xlfn.TEXTJOIN(", ",TRUE,INDEX(Tactics!$A$2:$A$8,MATCH(TRIM(LEFT(E16,FIND(",",E16)-1)),Tactics!$B$2:$B$8,0)),INDEX(Tactics!$A$2:$A$8,MATCH(TRIM(MID(E16,FIND(",",E16)+1,LEN(E16))),Tactics!$B$2:$B$8,0))))</f>
        <v>FA0001</v>
      </c>
      <c r="E16" s="12" t="s">
        <v>14</v>
      </c>
    </row>
    <row r="17" spans="1:5" ht="72.599999999999994">
      <c r="A17" s="12" t="s">
        <v>58</v>
      </c>
      <c r="B17" s="12" t="s">
        <v>59</v>
      </c>
      <c r="C17" s="12" t="s">
        <v>60</v>
      </c>
      <c r="D17" s="12" t="str">
        <f>IF(ISERROR(FIND(",",E17)),INDEX(Tactics!$A$2:$A$8,MATCH(TRIM(E17),Tactics!$B$2:$B$8,0)),_xlfn.TEXTJOIN(", ",TRUE,INDEX(Tactics!$A$2:$A$8,MATCH(TRIM(LEFT(E17,FIND(",",E17)-1)),Tactics!$B$2:$B$8,0)),INDEX(Tactics!$A$2:$A$8,MATCH(TRIM(MID(E17,FIND(",",E17)+1,LEN(E17))),Tactics!$B$2:$B$8,0))))</f>
        <v>FA0001</v>
      </c>
      <c r="E17" s="12" t="s">
        <v>14</v>
      </c>
    </row>
    <row r="18" spans="1:5" ht="72.599999999999994">
      <c r="A18" s="12" t="s">
        <v>61</v>
      </c>
      <c r="B18" s="12" t="s">
        <v>62</v>
      </c>
      <c r="C18" s="12" t="s">
        <v>63</v>
      </c>
      <c r="D18" s="12" t="str">
        <f>IF(ISERROR(FIND(",",E18)),INDEX(Tactics!$A$2:$A$8,MATCH(TRIM(E18),Tactics!$B$2:$B$8,0)),_xlfn.TEXTJOIN(", ",TRUE,INDEX(Tactics!$A$2:$A$8,MATCH(TRIM(LEFT(E18,FIND(",",E18)-1)),Tactics!$B$2:$B$8,0)),INDEX(Tactics!$A$2:$A$8,MATCH(TRIM(MID(E18,FIND(",",E18)+1,LEN(E18))),Tactics!$B$2:$B$8,0))))</f>
        <v>FA0001</v>
      </c>
      <c r="E18" s="12" t="s">
        <v>14</v>
      </c>
    </row>
    <row r="19" spans="1:5" ht="72.599999999999994">
      <c r="A19" s="12" t="s">
        <v>64</v>
      </c>
      <c r="B19" s="12" t="s">
        <v>65</v>
      </c>
      <c r="C19" s="12" t="s">
        <v>66</v>
      </c>
      <c r="D19" s="12" t="str">
        <f>IF(ISERROR(FIND(",",E19)),INDEX(Tactics!$A$2:$A$8,MATCH(TRIM(E19),Tactics!$B$2:$B$8,0)),_xlfn.TEXTJOIN(", ",TRUE,INDEX(Tactics!$A$2:$A$8,MATCH(TRIM(LEFT(E19,FIND(",",E19)-1)),Tactics!$B$2:$B$8,0)),INDEX(Tactics!$A$2:$A$8,MATCH(TRIM(MID(E19,FIND(",",E19)+1,LEN(E19))),Tactics!$B$2:$B$8,0))))</f>
        <v>FA0001</v>
      </c>
      <c r="E19" s="12" t="s">
        <v>14</v>
      </c>
    </row>
    <row r="20" spans="1:5" ht="72.599999999999994">
      <c r="A20" s="12" t="s">
        <v>67</v>
      </c>
      <c r="B20" s="12" t="s">
        <v>68</v>
      </c>
      <c r="C20" s="12" t="s">
        <v>69</v>
      </c>
      <c r="D20" s="12" t="str">
        <f>IF(ISERROR(FIND(",",E20)),INDEX(Tactics!$A$2:$A$8,MATCH(TRIM(E20),Tactics!$B$2:$B$8,0)),_xlfn.TEXTJOIN(", ",TRUE,INDEX(Tactics!$A$2:$A$8,MATCH(TRIM(LEFT(E20,FIND(",",E20)-1)),Tactics!$B$2:$B$8,0)),INDEX(Tactics!$A$2:$A$8,MATCH(TRIM(MID(E20,FIND(",",E20)+1,LEN(E20))),Tactics!$B$2:$B$8,0))))</f>
        <v>FA0001</v>
      </c>
      <c r="E20" s="12" t="s">
        <v>14</v>
      </c>
    </row>
    <row r="21" spans="1:5" ht="72.599999999999994">
      <c r="A21" s="12" t="s">
        <v>70</v>
      </c>
      <c r="B21" s="12" t="s">
        <v>71</v>
      </c>
      <c r="C21" s="12" t="s">
        <v>72</v>
      </c>
      <c r="D21" s="12" t="str">
        <f>IF(ISERROR(FIND(",",E21)),INDEX(Tactics!$A$2:$A$8,MATCH(TRIM(E21),Tactics!$B$2:$B$8,0)),_xlfn.TEXTJOIN(", ",TRUE,INDEX(Tactics!$A$2:$A$8,MATCH(TRIM(LEFT(E21,FIND(",",E21)-1)),Tactics!$B$2:$B$8,0)),INDEX(Tactics!$A$2:$A$8,MATCH(TRIM(MID(E21,FIND(",",E21)+1,LEN(E21))),Tactics!$B$2:$B$8,0))))</f>
        <v>FA0001</v>
      </c>
      <c r="E21" s="12" t="s">
        <v>14</v>
      </c>
    </row>
    <row r="22" spans="1:5" ht="91.5">
      <c r="A22" s="12" t="s">
        <v>73</v>
      </c>
      <c r="B22" s="12" t="s">
        <v>74</v>
      </c>
      <c r="C22" s="12" t="s">
        <v>75</v>
      </c>
      <c r="D22" s="12" t="str">
        <f>IF(ISERROR(FIND(",",E22)),INDEX(Tactics!$A$2:$A$8,MATCH(TRIM(E22),Tactics!$B$2:$B$8,0)),_xlfn.TEXTJOIN(", ",TRUE,INDEX(Tactics!$A$2:$A$8,MATCH(TRIM(LEFT(E22,FIND(",",E22)-1)),Tactics!$B$2:$B$8,0)),INDEX(Tactics!$A$2:$A$8,MATCH(TRIM(MID(E22,FIND(",",E22)+1,LEN(E22))),Tactics!$B$2:$B$8,0))))</f>
        <v>TA0001</v>
      </c>
      <c r="E22" s="12" t="s">
        <v>36</v>
      </c>
    </row>
    <row r="23" spans="1:5" ht="185.25">
      <c r="A23" s="12" t="s">
        <v>76</v>
      </c>
      <c r="B23" s="12" t="s">
        <v>77</v>
      </c>
      <c r="C23" s="12" t="s">
        <v>78</v>
      </c>
      <c r="D23" s="12" t="str">
        <f>IF(ISERROR(FIND(",",E23)),INDEX(Tactics!$A$2:$A$8,MATCH(TRIM(E23),Tactics!$B$2:$B$8,0)),_xlfn.TEXTJOIN(", ",TRUE,INDEX(Tactics!$A$2:$A$8,MATCH(TRIM(LEFT(E23,FIND(",",E23)-1)),Tactics!$B$2:$B$8,0)),INDEX(Tactics!$A$2:$A$8,MATCH(TRIM(MID(E23,FIND(",",E23)+1,LEN(E23))),Tactics!$B$2:$B$8,0))))</f>
        <v>TA0001</v>
      </c>
      <c r="E23" s="12" t="s">
        <v>36</v>
      </c>
    </row>
    <row r="24" spans="1:5" ht="185.25">
      <c r="A24" s="12" t="s">
        <v>79</v>
      </c>
      <c r="B24" s="12" t="s">
        <v>80</v>
      </c>
      <c r="C24" s="12" t="s">
        <v>81</v>
      </c>
      <c r="D24" s="12" t="str">
        <f>IF(ISERROR(FIND(",",E24)),INDEX(Tactics!$A$2:$A$8,MATCH(TRIM(E24),Tactics!$B$2:$B$8,0)),_xlfn.TEXTJOIN(", ",TRUE,INDEX(Tactics!$A$2:$A$8,MATCH(TRIM(LEFT(E24,FIND(",",E24)-1)),Tactics!$B$2:$B$8,0)),INDEX(Tactics!$A$2:$A$8,MATCH(TRIM(MID(E24,FIND(",",E24)+1,LEN(E24))),Tactics!$B$2:$B$8,0))))</f>
        <v>TA0001</v>
      </c>
      <c r="E24" s="12" t="s">
        <v>36</v>
      </c>
    </row>
    <row r="25" spans="1:5" ht="108">
      <c r="A25" s="12" t="s">
        <v>82</v>
      </c>
      <c r="B25" s="12" t="s">
        <v>83</v>
      </c>
      <c r="C25" s="12" t="s">
        <v>84</v>
      </c>
      <c r="D25" s="12" t="str">
        <f>IF(ISERROR(FIND(",",E25)),INDEX(Tactics!$A$2:$A$8,MATCH(TRIM(E25),Tactics!$B$2:$B$8,0)),_xlfn.TEXTJOIN(", ",TRUE,INDEX(Tactics!$A$2:$A$8,MATCH(TRIM(LEFT(E25,FIND(",",E25)-1)),Tactics!$B$2:$B$8,0)),INDEX(Tactics!$A$2:$A$8,MATCH(TRIM(MID(E25,FIND(",",E25)+1,LEN(E25))),Tactics!$B$2:$B$8,0))))</f>
        <v>TA0001</v>
      </c>
      <c r="E25" s="12" t="s">
        <v>36</v>
      </c>
    </row>
    <row r="26" spans="1:5" ht="72.599999999999994">
      <c r="A26" s="12" t="s">
        <v>85</v>
      </c>
      <c r="B26" s="12" t="s">
        <v>86</v>
      </c>
      <c r="C26" s="12" t="s">
        <v>87</v>
      </c>
      <c r="D26" s="12" t="str">
        <f>IF(ISERROR(FIND(",",E26)),INDEX(Tactics!$A$2:$A$8,MATCH(TRIM(E26),Tactics!$B$2:$B$8,0)),_xlfn.TEXTJOIN(", ",TRUE,INDEX(Tactics!$A$2:$A$8,MATCH(TRIM(LEFT(E26,FIND(",",E26)-1)),Tactics!$B$2:$B$8,0)),INDEX(Tactics!$A$2:$A$8,MATCH(TRIM(MID(E26,FIND(",",E26)+1,LEN(E26))),Tactics!$B$2:$B$8,0))))</f>
        <v>TA0002</v>
      </c>
      <c r="E26" s="12" t="s">
        <v>28</v>
      </c>
    </row>
    <row r="27" spans="1:5" ht="87">
      <c r="A27" s="12" t="s">
        <v>88</v>
      </c>
      <c r="B27" s="12" t="s">
        <v>89</v>
      </c>
      <c r="C27" s="12" t="s">
        <v>90</v>
      </c>
      <c r="D27" s="12" t="str">
        <f>IF(ISERROR(FIND(",",E27)),INDEX(Tactics!$A$2:$A$8,MATCH(TRIM(E27),Tactics!$B$2:$B$8,0)),_xlfn.TEXTJOIN(", ",TRUE,INDEX(Tactics!$A$2:$A$8,MATCH(TRIM(LEFT(E27,FIND(",",E27)-1)),Tactics!$B$2:$B$8,0)),INDEX(Tactics!$A$2:$A$8,MATCH(TRIM(MID(E27,FIND(",",E27)+1,LEN(E27))),Tactics!$B$2:$B$8,0))))</f>
        <v>TA0042</v>
      </c>
      <c r="E27" s="12" t="s">
        <v>91</v>
      </c>
    </row>
    <row r="28" spans="1:5" ht="87">
      <c r="A28" s="12" t="s">
        <v>92</v>
      </c>
      <c r="B28" s="12" t="s">
        <v>93</v>
      </c>
      <c r="C28" s="12" t="s">
        <v>94</v>
      </c>
      <c r="D28" s="12" t="str">
        <f>IF(ISERROR(FIND(",",E28)),INDEX(Tactics!$A$2:$A$8,MATCH(TRIM(E28),Tactics!$B$2:$B$8,0)),_xlfn.TEXTJOIN(", ",TRUE,INDEX(Tactics!$A$2:$A$8,MATCH(TRIM(LEFT(E28,FIND(",",E28)-1)),Tactics!$B$2:$B$8,0)),INDEX(Tactics!$A$2:$A$8,MATCH(TRIM(MID(E28,FIND(",",E28)+1,LEN(E28))),Tactics!$B$2:$B$8,0))))</f>
        <v>TA0042</v>
      </c>
      <c r="E28" s="12" t="s">
        <v>91</v>
      </c>
    </row>
    <row r="29" spans="1:5" ht="72.599999999999994">
      <c r="A29" s="12" t="s">
        <v>95</v>
      </c>
      <c r="B29" s="12" t="s">
        <v>96</v>
      </c>
      <c r="C29" s="12" t="s">
        <v>97</v>
      </c>
      <c r="D29" s="12" t="str">
        <f>IF(ISERROR(FIND(",",E29)),INDEX(Tactics!$A$2:$A$8,MATCH(TRIM(E29),Tactics!$B$2:$B$8,0)),_xlfn.TEXTJOIN(", ",TRUE,INDEX(Tactics!$A$2:$A$8,MATCH(TRIM(LEFT(E29,FIND(",",E29)-1)),Tactics!$B$2:$B$8,0)),INDEX(Tactics!$A$2:$A$8,MATCH(TRIM(MID(E29,FIND(",",E29)+1,LEN(E29))),Tactics!$B$2:$B$8,0))))</f>
        <v>TA0042</v>
      </c>
      <c r="E29" s="12" t="s">
        <v>91</v>
      </c>
    </row>
    <row r="30" spans="1:5" ht="87">
      <c r="A30" s="12" t="s">
        <v>98</v>
      </c>
      <c r="B30" s="12" t="s">
        <v>99</v>
      </c>
      <c r="C30" s="12" t="s">
        <v>100</v>
      </c>
      <c r="D30" s="12" t="str">
        <f>IF(ISERROR(FIND(",",E30)),INDEX(Tactics!$A$2:$A$8,MATCH(TRIM(E30),Tactics!$B$2:$B$8,0)),_xlfn.TEXTJOIN(", ",TRUE,INDEX(Tactics!$A$2:$A$8,MATCH(TRIM(LEFT(E30,FIND(",",E30)-1)),Tactics!$B$2:$B$8,0)),INDEX(Tactics!$A$2:$A$8,MATCH(TRIM(MID(E30,FIND(",",E30)+1,LEN(E30))),Tactics!$B$2:$B$8,0))))</f>
        <v>TA0042</v>
      </c>
      <c r="E30" s="12" t="s">
        <v>91</v>
      </c>
    </row>
    <row r="31" spans="1:5" ht="72.599999999999994">
      <c r="A31" s="12" t="s">
        <v>101</v>
      </c>
      <c r="B31" s="12" t="s">
        <v>102</v>
      </c>
      <c r="C31" s="12" t="s">
        <v>103</v>
      </c>
      <c r="D31" s="12" t="str">
        <f>IF(ISERROR(FIND(",",E31)),INDEX(Tactics!$A$2:$A$8,MATCH(TRIM(E31),Tactics!$B$2:$B$8,0)),_xlfn.TEXTJOIN(", ",TRUE,INDEX(Tactics!$A$2:$A$8,MATCH(TRIM(LEFT(E31,FIND(",",E31)-1)),Tactics!$B$2:$B$8,0)),INDEX(Tactics!$A$2:$A$8,MATCH(TRIM(MID(E31,FIND(",",E31)+1,LEN(E31))),Tactics!$B$2:$B$8,0))))</f>
        <v>TA0042</v>
      </c>
      <c r="E31" s="12" t="s">
        <v>91</v>
      </c>
    </row>
    <row r="32" spans="1:5" ht="87">
      <c r="A32" s="12" t="s">
        <v>104</v>
      </c>
      <c r="B32" s="12" t="s">
        <v>105</v>
      </c>
      <c r="C32" s="12" t="s">
        <v>106</v>
      </c>
      <c r="D32" s="12" t="str">
        <f>IF(ISERROR(FIND(",",E32)),INDEX(Tactics!$A$2:$A$8,MATCH(TRIM(E32),Tactics!$B$2:$B$8,0)),_xlfn.TEXTJOIN(", ",TRUE,INDEX(Tactics!$A$2:$A$8,MATCH(TRIM(LEFT(E32,FIND(",",E32)-1)),Tactics!$B$2:$B$8,0)),INDEX(Tactics!$A$2:$A$8,MATCH(TRIM(MID(E32,FIND(",",E32)+1,LEN(E32))),Tactics!$B$2:$B$8,0))))</f>
        <v>TA0001, FA0001</v>
      </c>
      <c r="E32" s="12" t="s">
        <v>32</v>
      </c>
    </row>
    <row r="33" spans="1:5" ht="72.599999999999994">
      <c r="A33" s="12" t="s">
        <v>107</v>
      </c>
      <c r="B33" s="12" t="s">
        <v>108</v>
      </c>
      <c r="C33" s="12" t="s">
        <v>109</v>
      </c>
      <c r="D33" s="12" t="str">
        <f>IF(ISERROR(FIND(",",E33)),INDEX(Tactics!$A$2:$A$8,MATCH(TRIM(E33),Tactics!$B$2:$B$8,0)),_xlfn.TEXTJOIN(", ",TRUE,INDEX(Tactics!$A$2:$A$8,MATCH(TRIM(LEFT(E33,FIND(",",E33)-1)),Tactics!$B$2:$B$8,0)),INDEX(Tactics!$A$2:$A$8,MATCH(TRIM(MID(E33,FIND(",",E33)+1,LEN(E33))),Tactics!$B$2:$B$8,0))))</f>
        <v>TA0001, FA0001</v>
      </c>
      <c r="E33" s="12" t="s">
        <v>32</v>
      </c>
    </row>
    <row r="34" spans="1:5" ht="87">
      <c r="A34" s="12" t="s">
        <v>110</v>
      </c>
      <c r="B34" s="12" t="s">
        <v>111</v>
      </c>
      <c r="C34" s="12" t="s">
        <v>112</v>
      </c>
      <c r="D34" s="12" t="str">
        <f>IF(ISERROR(FIND(",",E34)),INDEX(Tactics!$A$2:$A$8,MATCH(TRIM(E34),Tactics!$B$2:$B$8,0)),_xlfn.TEXTJOIN(", ",TRUE,INDEX(Tactics!$A$2:$A$8,MATCH(TRIM(LEFT(E34,FIND(",",E34)-1)),Tactics!$B$2:$B$8,0)),INDEX(Tactics!$A$2:$A$8,MATCH(TRIM(MID(E34,FIND(",",E34)+1,LEN(E34))),Tactics!$B$2:$B$8,0))))</f>
        <v>TA0001, FA0001</v>
      </c>
      <c r="E34" s="12" t="s">
        <v>32</v>
      </c>
    </row>
    <row r="35" spans="1:5" ht="87">
      <c r="A35" s="12" t="s">
        <v>113</v>
      </c>
      <c r="B35" s="12" t="s">
        <v>114</v>
      </c>
      <c r="C35" s="12" t="s">
        <v>115</v>
      </c>
      <c r="D35" s="12" t="str">
        <f>IF(ISERROR(FIND(",",E35)),INDEX(Tactics!$A$2:$A$8,MATCH(TRIM(E35),Tactics!$B$2:$B$8,0)),_xlfn.TEXTJOIN(", ",TRUE,INDEX(Tactics!$A$2:$A$8,MATCH(TRIM(LEFT(E35,FIND(",",E35)-1)),Tactics!$B$2:$B$8,0)),INDEX(Tactics!$A$2:$A$8,MATCH(TRIM(MID(E35,FIND(",",E35)+1,LEN(E35))),Tactics!$B$2:$B$8,0))))</f>
        <v>TA0001, FA0001</v>
      </c>
      <c r="E35" s="12" t="s">
        <v>32</v>
      </c>
    </row>
    <row r="36" spans="1:5" ht="87">
      <c r="A36" s="12" t="s">
        <v>116</v>
      </c>
      <c r="B36" s="12" t="s">
        <v>117</v>
      </c>
      <c r="C36" s="12" t="s">
        <v>118</v>
      </c>
      <c r="D36" s="12" t="str">
        <f>IF(ISERROR(FIND(",",E36)),INDEX(Tactics!$A$2:$A$8,MATCH(TRIM(E36),Tactics!$B$2:$B$8,0)),_xlfn.TEXTJOIN(", ",TRUE,INDEX(Tactics!$A$2:$A$8,MATCH(TRIM(LEFT(E36,FIND(",",E36)-1)),Tactics!$B$2:$B$8,0)),INDEX(Tactics!$A$2:$A$8,MATCH(TRIM(MID(E36,FIND(",",E36)+1,LEN(E36))),Tactics!$B$2:$B$8,0))))</f>
        <v>TA0001, FA0001</v>
      </c>
      <c r="E36" s="12" t="s">
        <v>32</v>
      </c>
    </row>
    <row r="37" spans="1:5" ht="72.599999999999994">
      <c r="A37" s="12" t="s">
        <v>119</v>
      </c>
      <c r="B37" s="12" t="s">
        <v>120</v>
      </c>
      <c r="C37" s="12" t="s">
        <v>121</v>
      </c>
      <c r="D37" s="12" t="str">
        <f>IF(ISERROR(FIND(",",E37)),INDEX(Tactics!$A$2:$A$8,MATCH(TRIM(E37),Tactics!$B$2:$B$8,0)),_xlfn.TEXTJOIN(", ",TRUE,INDEX(Tactics!$A$2:$A$8,MATCH(TRIM(LEFT(E37,FIND(",",E37)-1)),Tactics!$B$2:$B$8,0)),INDEX(Tactics!$A$2:$A$8,MATCH(TRIM(MID(E37,FIND(",",E37)+1,LEN(E37))),Tactics!$B$2:$B$8,0))))</f>
        <v>TA0002</v>
      </c>
      <c r="E37" s="12" t="s">
        <v>28</v>
      </c>
    </row>
    <row r="38" spans="1:5" ht="87">
      <c r="A38" s="12" t="s">
        <v>122</v>
      </c>
      <c r="B38" s="12" t="s">
        <v>123</v>
      </c>
      <c r="C38" s="12" t="s">
        <v>124</v>
      </c>
      <c r="D38" s="12" t="str">
        <f>IF(ISERROR(FIND(",",E38)),INDEX(Tactics!$A$2:$A$8,MATCH(TRIM(E38),Tactics!$B$2:$B$8,0)),_xlfn.TEXTJOIN(", ",TRUE,INDEX(Tactics!$A$2:$A$8,MATCH(TRIM(LEFT(E38,FIND(",",E38)-1)),Tactics!$B$2:$B$8,0)),INDEX(Tactics!$A$2:$A$8,MATCH(TRIM(MID(E38,FIND(",",E38)+1,LEN(E38))),Tactics!$B$2:$B$8,0))))</f>
        <v>TA0002</v>
      </c>
      <c r="E38" s="12" t="s">
        <v>28</v>
      </c>
    </row>
    <row r="39" spans="1:5" ht="72.599999999999994">
      <c r="A39" s="12" t="s">
        <v>125</v>
      </c>
      <c r="B39" s="12" t="s">
        <v>126</v>
      </c>
      <c r="C39" s="12" t="s">
        <v>127</v>
      </c>
      <c r="D39" s="12" t="str">
        <f>IF(ISERROR(FIND(",",E39)),INDEX(Tactics!$A$2:$A$8,MATCH(TRIM(E39),Tactics!$B$2:$B$8,0)),_xlfn.TEXTJOIN(", ",TRUE,INDEX(Tactics!$A$2:$A$8,MATCH(TRIM(LEFT(E39,FIND(",",E39)-1)),Tactics!$B$2:$B$8,0)),INDEX(Tactics!$A$2:$A$8,MATCH(TRIM(MID(E39,FIND(",",E39)+1,LEN(E39))),Tactics!$B$2:$B$8,0))))</f>
        <v>TA0002</v>
      </c>
      <c r="E39" s="12" t="s">
        <v>28</v>
      </c>
    </row>
    <row r="40" spans="1:5" ht="72.599999999999994">
      <c r="A40" s="12" t="s">
        <v>128</v>
      </c>
      <c r="B40" s="12" t="s">
        <v>129</v>
      </c>
      <c r="C40" s="12" t="s">
        <v>130</v>
      </c>
      <c r="D40" s="12" t="str">
        <f>IF(ISERROR(FIND(",",E40)),INDEX(Tactics!$A$2:$A$8,MATCH(TRIM(E40),Tactics!$B$2:$B$8,0)),_xlfn.TEXTJOIN(", ",TRUE,INDEX(Tactics!$A$2:$A$8,MATCH(TRIM(LEFT(E40,FIND(",",E40)-1)),Tactics!$B$2:$B$8,0)),INDEX(Tactics!$A$2:$A$8,MATCH(TRIM(MID(E40,FIND(",",E40)+1,LEN(E40))),Tactics!$B$2:$B$8,0))))</f>
        <v>TA0002</v>
      </c>
      <c r="E40" s="12" t="s">
        <v>28</v>
      </c>
    </row>
    <row r="41" spans="1:5" ht="72.599999999999994">
      <c r="A41" s="12" t="s">
        <v>131</v>
      </c>
      <c r="B41" s="12" t="s">
        <v>132</v>
      </c>
      <c r="C41" s="12" t="s">
        <v>133</v>
      </c>
      <c r="D41" s="12" t="str">
        <f>IF(ISERROR(FIND(",",E41)),INDEX(Tactics!$A$2:$A$8,MATCH(TRIM(E41),Tactics!$B$2:$B$8,0)),_xlfn.TEXTJOIN(", ",TRUE,INDEX(Tactics!$A$2:$A$8,MATCH(TRIM(LEFT(E41,FIND(",",E41)-1)),Tactics!$B$2:$B$8,0)),INDEX(Tactics!$A$2:$A$8,MATCH(TRIM(MID(E41,FIND(",",E41)+1,LEN(E41))),Tactics!$B$2:$B$8,0))))</f>
        <v>TA0002</v>
      </c>
      <c r="E41" s="12" t="s">
        <v>28</v>
      </c>
    </row>
    <row r="42" spans="1:5" ht="72.599999999999994">
      <c r="A42" s="12" t="s">
        <v>134</v>
      </c>
      <c r="B42" s="12" t="s">
        <v>135</v>
      </c>
      <c r="C42" s="12" t="s">
        <v>136</v>
      </c>
      <c r="D42" s="12" t="str">
        <f>IF(ISERROR(FIND(",",E42)),INDEX(Tactics!$A$2:$A$8,MATCH(TRIM(E42),Tactics!$B$2:$B$8,0)),_xlfn.TEXTJOIN(", ",TRUE,INDEX(Tactics!$A$2:$A$8,MATCH(TRIM(LEFT(E42,FIND(",",E42)-1)),Tactics!$B$2:$B$8,0)),INDEX(Tactics!$A$2:$A$8,MATCH(TRIM(MID(E42,FIND(",",E42)+1,LEN(E42))),Tactics!$B$2:$B$8,0))))</f>
        <v>TA0002</v>
      </c>
      <c r="E42" s="12" t="s">
        <v>28</v>
      </c>
    </row>
    <row r="43" spans="1:5" ht="57.95">
      <c r="A43" s="12" t="s">
        <v>137</v>
      </c>
      <c r="B43" s="12" t="s">
        <v>138</v>
      </c>
      <c r="C43" s="12" t="s">
        <v>139</v>
      </c>
      <c r="D43" s="12" t="str">
        <f>IF(ISERROR(FIND(",",E43)),INDEX(Tactics!$A$2:$A$8,MATCH(TRIM(E43),Tactics!$B$2:$B$8,0)),_xlfn.TEXTJOIN(", ",TRUE,INDEX(Tactics!$A$2:$A$8,MATCH(TRIM(LEFT(E43,FIND(",",E43)-1)),Tactics!$B$2:$B$8,0)),INDEX(Tactics!$A$2:$A$8,MATCH(TRIM(MID(E43,FIND(",",E43)+1,LEN(E43))),Tactics!$B$2:$B$8,0))))</f>
        <v>TA0002</v>
      </c>
      <c r="E43" s="12" t="s">
        <v>28</v>
      </c>
    </row>
    <row r="44" spans="1:5" ht="72.599999999999994">
      <c r="A44" s="12" t="s">
        <v>140</v>
      </c>
      <c r="B44" s="12" t="s">
        <v>141</v>
      </c>
      <c r="C44" s="12" t="s">
        <v>142</v>
      </c>
      <c r="D44" s="12" t="str">
        <f>IF(ISERROR(FIND(",",E44)),INDEX(Tactics!$A$2:$A$8,MATCH(TRIM(E44),Tactics!$B$2:$B$8,0)),_xlfn.TEXTJOIN(", ",TRUE,INDEX(Tactics!$A$2:$A$8,MATCH(TRIM(LEFT(E44,FIND(",",E44)-1)),Tactics!$B$2:$B$8,0)),INDEX(Tactics!$A$2:$A$8,MATCH(TRIM(MID(E44,FIND(",",E44)+1,LEN(E44))),Tactics!$B$2:$B$8,0))))</f>
        <v>TA0002</v>
      </c>
      <c r="E44" s="12" t="s">
        <v>28</v>
      </c>
    </row>
    <row r="45" spans="1:5" ht="87">
      <c r="A45" s="12" t="s">
        <v>143</v>
      </c>
      <c r="B45" s="12" t="s">
        <v>144</v>
      </c>
      <c r="C45" s="12" t="s">
        <v>145</v>
      </c>
      <c r="D45" s="12" t="str">
        <f>IF(ISERROR(FIND(",",E45)),INDEX(Tactics!$A$2:$A$8,MATCH(TRIM(E45),Tactics!$B$2:$B$8,0)),_xlfn.TEXTJOIN(", ",TRUE,INDEX(Tactics!$A$2:$A$8,MATCH(TRIM(LEFT(E45,FIND(",",E45)-1)),Tactics!$B$2:$B$8,0)),INDEX(Tactics!$A$2:$A$8,MATCH(TRIM(MID(E45,FIND(",",E45)+1,LEN(E45))),Tactics!$B$2:$B$8,0))))</f>
        <v>TA0002</v>
      </c>
      <c r="E45" s="12" t="s">
        <v>28</v>
      </c>
    </row>
    <row r="46" spans="1:5" ht="87">
      <c r="A46" s="12" t="s">
        <v>146</v>
      </c>
      <c r="B46" s="12" t="s">
        <v>147</v>
      </c>
      <c r="C46" s="12" t="s">
        <v>148</v>
      </c>
      <c r="D46" s="12" t="str">
        <f>IF(ISERROR(FIND(",",E46)),INDEX(Tactics!$A$2:$A$8,MATCH(TRIM(E46),Tactics!$B$2:$B$8,0)),_xlfn.TEXTJOIN(", ",TRUE,INDEX(Tactics!$A$2:$A$8,MATCH(TRIM(LEFT(E46,FIND(",",E46)-1)),Tactics!$B$2:$B$8,0)),INDEX(Tactics!$A$2:$A$8,MATCH(TRIM(MID(E46,FIND(",",E46)+1,LEN(E46))),Tactics!$B$2:$B$8,0))))</f>
        <v>FA0002</v>
      </c>
      <c r="E46" s="12" t="s">
        <v>149</v>
      </c>
    </row>
    <row r="47" spans="1:5" ht="72.599999999999994">
      <c r="A47" s="12" t="s">
        <v>150</v>
      </c>
      <c r="B47" s="12" t="s">
        <v>151</v>
      </c>
      <c r="C47" s="12" t="s">
        <v>152</v>
      </c>
      <c r="D47" s="12" t="str">
        <f>IF(ISERROR(FIND(",",E47)),INDEX(Tactics!$A$2:$A$8,MATCH(TRIM(E47),Tactics!$B$2:$B$8,0)),_xlfn.TEXTJOIN(", ",TRUE,INDEX(Tactics!$A$2:$A$8,MATCH(TRIM(LEFT(E47,FIND(",",E47)-1)),Tactics!$B$2:$B$8,0)),INDEX(Tactics!$A$2:$A$8,MATCH(TRIM(MID(E47,FIND(",",E47)+1,LEN(E47))),Tactics!$B$2:$B$8,0))))</f>
        <v>FA0002</v>
      </c>
      <c r="E47" s="12" t="s">
        <v>149</v>
      </c>
    </row>
    <row r="48" spans="1:5" ht="290.10000000000002">
      <c r="A48" s="12" t="s">
        <v>153</v>
      </c>
      <c r="B48" s="12" t="s">
        <v>154</v>
      </c>
      <c r="C48" s="12" t="s">
        <v>155</v>
      </c>
      <c r="D48" s="12" t="str">
        <f>IF(ISERROR(FIND(",",E48)),INDEX(Tactics!$A$2:$A$8,MATCH(TRIM(E48),Tactics!$B$2:$B$8,0)),_xlfn.TEXTJOIN(", ",TRUE,INDEX(Tactics!$A$2:$A$8,MATCH(TRIM(LEFT(E48,FIND(",",E48)-1)),Tactics!$B$2:$B$8,0)),INDEX(Tactics!$A$2:$A$8,MATCH(TRIM(MID(E48,FIND(",",E48)+1,LEN(E48))),Tactics!$B$2:$B$8,0))))</f>
        <v>TA0001, FA0001</v>
      </c>
      <c r="E48" s="12" t="s">
        <v>32</v>
      </c>
    </row>
    <row r="49" spans="1:5" ht="246.6">
      <c r="A49" s="12" t="s">
        <v>156</v>
      </c>
      <c r="B49" s="12" t="s">
        <v>157</v>
      </c>
      <c r="C49" s="12" t="s">
        <v>158</v>
      </c>
      <c r="D49" s="12" t="str">
        <f>IF(ISERROR(FIND(",",E49)),INDEX(Tactics!$A$2:$A$8,MATCH(TRIM(E49),Tactics!$B$2:$B$8,0)),_xlfn.TEXTJOIN(", ",TRUE,INDEX(Tactics!$A$2:$A$8,MATCH(TRIM(LEFT(E49,FIND(",",E49)-1)),Tactics!$B$2:$B$8,0)),INDEX(Tactics!$A$2:$A$8,MATCH(TRIM(MID(E49,FIND(",",E49)+1,LEN(E49))),Tactics!$B$2:$B$8,0))))</f>
        <v>TA0001</v>
      </c>
      <c r="E49" s="12" t="s">
        <v>36</v>
      </c>
    </row>
    <row r="50" spans="1:5" ht="144.94999999999999">
      <c r="A50" s="12" t="s">
        <v>159</v>
      </c>
      <c r="B50" s="12" t="s">
        <v>160</v>
      </c>
      <c r="C50" s="12" t="s">
        <v>161</v>
      </c>
      <c r="D50" s="12" t="str">
        <f>IF(ISERROR(FIND(",",E50)),INDEX(Tactics!$A$2:$A$8,MATCH(TRIM(E50),Tactics!$B$2:$B$8,0)),_xlfn.TEXTJOIN(", ",TRUE,INDEX(Tactics!$A$2:$A$8,MATCH(TRIM(LEFT(E50,FIND(",",E50)-1)),Tactics!$B$2:$B$8,0)),INDEX(Tactics!$A$2:$A$8,MATCH(TRIM(MID(E50,FIND(",",E50)+1,LEN(E50))),Tactics!$B$2:$B$8,0))))</f>
        <v>TA0001</v>
      </c>
      <c r="E50" s="12" t="s">
        <v>36</v>
      </c>
    </row>
    <row r="51" spans="1:5" ht="188.45">
      <c r="A51" s="12" t="s">
        <v>162</v>
      </c>
      <c r="B51" s="12" t="s">
        <v>163</v>
      </c>
      <c r="C51" s="12" t="s">
        <v>164</v>
      </c>
      <c r="D51" s="12" t="str">
        <f>IF(ISERROR(FIND(",",E51)),INDEX(Tactics!$A$2:$A$8,MATCH(TRIM(E51),Tactics!$B$2:$B$8,0)),_xlfn.TEXTJOIN(", ",TRUE,INDEX(Tactics!$A$2:$A$8,MATCH(TRIM(LEFT(E51,FIND(",",E51)-1)),Tactics!$B$2:$B$8,0)),INDEX(Tactics!$A$2:$A$8,MATCH(TRIM(MID(E51,FIND(",",E51)+1,LEN(E51))),Tactics!$B$2:$B$8,0))))</f>
        <v>TA0001</v>
      </c>
      <c r="E51" s="12" t="s">
        <v>36</v>
      </c>
    </row>
    <row r="52" spans="1:5" ht="174">
      <c r="A52" s="12" t="s">
        <v>165</v>
      </c>
      <c r="B52" s="12" t="s">
        <v>166</v>
      </c>
      <c r="C52" s="12" t="s">
        <v>167</v>
      </c>
      <c r="D52" s="12" t="str">
        <f>IF(ISERROR(FIND(",",E52)),INDEX(Tactics!$A$2:$A$8,MATCH(TRIM(E52),Tactics!$B$2:$B$8,0)),_xlfn.TEXTJOIN(", ",TRUE,INDEX(Tactics!$A$2:$A$8,MATCH(TRIM(LEFT(E52,FIND(",",E52)-1)),Tactics!$B$2:$B$8,0)),INDEX(Tactics!$A$2:$A$8,MATCH(TRIM(MID(E52,FIND(",",E52)+1,LEN(E52))),Tactics!$B$2:$B$8,0))))</f>
        <v>TA0001</v>
      </c>
      <c r="E52" s="12" t="s">
        <v>36</v>
      </c>
    </row>
    <row r="53" spans="1:5" ht="188.45">
      <c r="A53" s="12" t="s">
        <v>168</v>
      </c>
      <c r="B53" s="12" t="s">
        <v>169</v>
      </c>
      <c r="C53" s="12" t="s">
        <v>170</v>
      </c>
      <c r="D53" s="12" t="str">
        <f>IF(ISERROR(FIND(",",E53)),INDEX(Tactics!$A$2:$A$8,MATCH(TRIM(E53),Tactics!$B$2:$B$8,0)),_xlfn.TEXTJOIN(", ",TRUE,INDEX(Tactics!$A$2:$A$8,MATCH(TRIM(LEFT(E53,FIND(",",E53)-1)),Tactics!$B$2:$B$8,0)),INDEX(Tactics!$A$2:$A$8,MATCH(TRIM(MID(E53,FIND(",",E53)+1,LEN(E53))),Tactics!$B$2:$B$8,0))))</f>
        <v>TA0001</v>
      </c>
      <c r="E53" s="12" t="s">
        <v>36</v>
      </c>
    </row>
    <row r="54" spans="1:5" ht="87">
      <c r="A54" s="12" t="s">
        <v>171</v>
      </c>
      <c r="B54" s="12" t="s">
        <v>172</v>
      </c>
      <c r="C54" s="12" t="s">
        <v>173</v>
      </c>
      <c r="D54" s="12" t="str">
        <f>IF(ISERROR(FIND(",",E54)),INDEX(Tactics!$A$2:$A$8,MATCH(TRIM(E54),Tactics!$B$2:$B$8,0)),_xlfn.TEXTJOIN(", ",TRUE,INDEX(Tactics!$A$2:$A$8,MATCH(TRIM(LEFT(E54,FIND(",",E54)-1)),Tactics!$B$2:$B$8,0)),INDEX(Tactics!$A$2:$A$8,MATCH(TRIM(MID(E54,FIND(",",E54)+1,LEN(E54))),Tactics!$B$2:$B$8,0))))</f>
        <v>FA0002</v>
      </c>
      <c r="E54" s="12" t="s">
        <v>149</v>
      </c>
    </row>
    <row r="55" spans="1:5" ht="87">
      <c r="A55" s="12" t="s">
        <v>174</v>
      </c>
      <c r="B55" s="12" t="s">
        <v>175</v>
      </c>
      <c r="C55" s="12" t="s">
        <v>176</v>
      </c>
      <c r="D55" s="12" t="str">
        <f>IF(ISERROR(FIND(",",E55)),INDEX(Tactics!$A$2:$A$8,MATCH(TRIM(E55),Tactics!$B$2:$B$8,0)),_xlfn.TEXTJOIN(", ",TRUE,INDEX(Tactics!$A$2:$A$8,MATCH(TRIM(LEFT(E55,FIND(",",E55)-1)),Tactics!$B$2:$B$8,0)),INDEX(Tactics!$A$2:$A$8,MATCH(TRIM(MID(E55,FIND(",",E55)+1,LEN(E55))),Tactics!$B$2:$B$8,0))))</f>
        <v>FA0001</v>
      </c>
      <c r="E55" s="12" t="s">
        <v>14</v>
      </c>
    </row>
    <row r="56" spans="1:5" ht="72.599999999999994">
      <c r="A56" s="12" t="s">
        <v>177</v>
      </c>
      <c r="B56" s="12" t="s">
        <v>178</v>
      </c>
      <c r="C56" s="12" t="s">
        <v>179</v>
      </c>
      <c r="D56" s="12" t="str">
        <f>IF(ISERROR(FIND(",",E56)),INDEX(Tactics!$A$2:$A$8,MATCH(TRIM(E56),Tactics!$B$2:$B$8,0)),_xlfn.TEXTJOIN(", ",TRUE,INDEX(Tactics!$A$2:$A$8,MATCH(TRIM(LEFT(E56,FIND(",",E56)-1)),Tactics!$B$2:$B$8,0)),INDEX(Tactics!$A$2:$A$8,MATCH(TRIM(MID(E56,FIND(",",E56)+1,LEN(E56))),Tactics!$B$2:$B$8,0))))</f>
        <v>FA0001</v>
      </c>
      <c r="E56" s="12" t="s">
        <v>14</v>
      </c>
    </row>
    <row r="57" spans="1:5" ht="72.599999999999994">
      <c r="A57" s="12" t="s">
        <v>180</v>
      </c>
      <c r="B57" s="12" t="s">
        <v>181</v>
      </c>
      <c r="C57" s="12" t="s">
        <v>182</v>
      </c>
      <c r="D57" s="12" t="str">
        <f>IF(ISERROR(FIND(",",E57)),INDEX(Tactics!$A$2:$A$8,MATCH(TRIM(E57),Tactics!$B$2:$B$8,0)),_xlfn.TEXTJOIN(", ",TRUE,INDEX(Tactics!$A$2:$A$8,MATCH(TRIM(LEFT(E57,FIND(",",E57)-1)),Tactics!$B$2:$B$8,0)),INDEX(Tactics!$A$2:$A$8,MATCH(TRIM(MID(E57,FIND(",",E57)+1,LEN(E57))),Tactics!$B$2:$B$8,0))))</f>
        <v>FA0001</v>
      </c>
      <c r="E57" s="12" t="s">
        <v>14</v>
      </c>
    </row>
    <row r="58" spans="1:5" ht="72.599999999999994">
      <c r="A58" s="12" t="s">
        <v>183</v>
      </c>
      <c r="B58" s="12" t="s">
        <v>184</v>
      </c>
      <c r="C58" s="12" t="s">
        <v>185</v>
      </c>
      <c r="D58" s="12" t="str">
        <f>IF(ISERROR(FIND(",",E58)),INDEX(Tactics!$A$2:$A$8,MATCH(TRIM(E58),Tactics!$B$2:$B$8,0)),_xlfn.TEXTJOIN(", ",TRUE,INDEX(Tactics!$A$2:$A$8,MATCH(TRIM(LEFT(E58,FIND(",",E58)-1)),Tactics!$B$2:$B$8,0)),INDEX(Tactics!$A$2:$A$8,MATCH(TRIM(MID(E58,FIND(",",E58)+1,LEN(E58))),Tactics!$B$2:$B$8,0))))</f>
        <v>TA0002</v>
      </c>
      <c r="E58" s="12" t="s">
        <v>28</v>
      </c>
    </row>
    <row r="59" spans="1:5" ht="72.599999999999994">
      <c r="A59" s="12" t="s">
        <v>186</v>
      </c>
      <c r="B59" s="12" t="s">
        <v>187</v>
      </c>
      <c r="C59" s="12" t="s">
        <v>188</v>
      </c>
      <c r="D59" s="12" t="str">
        <f>IF(ISERROR(FIND(",",E59)),INDEX(Tactics!$A$2:$A$8,MATCH(TRIM(E59),Tactics!$B$2:$B$8,0)),_xlfn.TEXTJOIN(", ",TRUE,INDEX(Tactics!$A$2:$A$8,MATCH(TRIM(LEFT(E59,FIND(",",E59)-1)),Tactics!$B$2:$B$8,0)),INDEX(Tactics!$A$2:$A$8,MATCH(TRIM(MID(E59,FIND(",",E59)+1,LEN(E59))),Tactics!$B$2:$B$8,0))))</f>
        <v>TA0002</v>
      </c>
      <c r="E59" s="12" t="s">
        <v>28</v>
      </c>
    </row>
    <row r="60" spans="1:5" ht="203.1">
      <c r="A60" s="12" t="s">
        <v>189</v>
      </c>
      <c r="B60" s="12" t="s">
        <v>190</v>
      </c>
      <c r="C60" s="12" t="s">
        <v>191</v>
      </c>
      <c r="D60" s="12" t="str">
        <f>IF(ISERROR(FIND(",",E60)),INDEX(Tactics!$A$2:$A$8,MATCH(TRIM(E60),Tactics!$B$2:$B$8,0)),_xlfn.TEXTJOIN(", ",TRUE,INDEX(Tactics!$A$2:$A$8,MATCH(TRIM(LEFT(E60,FIND(",",E60)-1)),Tactics!$B$2:$B$8,0)),INDEX(Tactics!$A$2:$A$8,MATCH(TRIM(MID(E60,FIND(",",E60)+1,LEN(E60))),Tactics!$B$2:$B$8,0))))</f>
        <v>TA0002</v>
      </c>
      <c r="E60" s="12" t="s">
        <v>28</v>
      </c>
    </row>
    <row r="61" spans="1:5" ht="72.599999999999994">
      <c r="A61" s="12" t="s">
        <v>192</v>
      </c>
      <c r="B61" s="12" t="s">
        <v>193</v>
      </c>
      <c r="C61" s="12" t="s">
        <v>194</v>
      </c>
      <c r="D61" s="12" t="str">
        <f>IF(ISERROR(FIND(",",E61)),INDEX(Tactics!$A$2:$A$8,MATCH(TRIM(E61),Tactics!$B$2:$B$8,0)),_xlfn.TEXTJOIN(", ",TRUE,INDEX(Tactics!$A$2:$A$8,MATCH(TRIM(LEFT(E61,FIND(",",E61)-1)),Tactics!$B$2:$B$8,0)),INDEX(Tactics!$A$2:$A$8,MATCH(TRIM(MID(E61,FIND(",",E61)+1,LEN(E61))),Tactics!$B$2:$B$8,0))))</f>
        <v>TA0042</v>
      </c>
      <c r="E61" s="12" t="s">
        <v>91</v>
      </c>
    </row>
    <row r="62" spans="1:5" ht="87">
      <c r="A62" s="12" t="s">
        <v>195</v>
      </c>
      <c r="B62" s="12" t="s">
        <v>196</v>
      </c>
      <c r="C62" s="12" t="s">
        <v>197</v>
      </c>
      <c r="D62" s="12" t="str">
        <f>IF(ISERROR(FIND(",",E62)),INDEX(Tactics!$A$2:$A$8,MATCH(TRIM(E62),Tactics!$B$2:$B$8,0)),_xlfn.TEXTJOIN(", ",TRUE,INDEX(Tactics!$A$2:$A$8,MATCH(TRIM(LEFT(E62,FIND(",",E62)-1)),Tactics!$B$2:$B$8,0)),INDEX(Tactics!$A$2:$A$8,MATCH(TRIM(MID(E62,FIND(",",E62)+1,LEN(E62))),Tactics!$B$2:$B$8,0))))</f>
        <v>TA0042</v>
      </c>
      <c r="E62" s="12" t="s">
        <v>91</v>
      </c>
    </row>
    <row r="63" spans="1:5" ht="87">
      <c r="A63" s="12" t="s">
        <v>198</v>
      </c>
      <c r="B63" s="12" t="s">
        <v>199</v>
      </c>
      <c r="C63" s="12" t="s">
        <v>200</v>
      </c>
      <c r="D63" s="12" t="str">
        <f>IF(ISERROR(FIND(",",E63)),INDEX(Tactics!$A$2:$A$8,MATCH(TRIM(E63),Tactics!$B$2:$B$8,0)),_xlfn.TEXTJOIN(", ",TRUE,INDEX(Tactics!$A$2:$A$8,MATCH(TRIM(LEFT(E63,FIND(",",E63)-1)),Tactics!$B$2:$B$8,0)),INDEX(Tactics!$A$2:$A$8,MATCH(TRIM(MID(E63,FIND(",",E63)+1,LEN(E63))),Tactics!$B$2:$B$8,0))))</f>
        <v>TA0042</v>
      </c>
      <c r="E63" s="12" t="s">
        <v>91</v>
      </c>
    </row>
    <row r="64" spans="1:5" ht="275.45">
      <c r="A64" s="12" t="s">
        <v>201</v>
      </c>
      <c r="B64" s="12" t="s">
        <v>202</v>
      </c>
      <c r="C64" s="12" t="s">
        <v>203</v>
      </c>
      <c r="D64" s="12" t="str">
        <f>IF(ISERROR(FIND(",",E64)),INDEX(Tactics!$A$2:$A$8,MATCH(TRIM(E64),Tactics!$B$2:$B$8,0)),_xlfn.TEXTJOIN(", ",TRUE,INDEX(Tactics!$A$2:$A$8,MATCH(TRIM(LEFT(E64,FIND(",",E64)-1)),Tactics!$B$2:$B$8,0)),INDEX(Tactics!$A$2:$A$8,MATCH(TRIM(MID(E64,FIND(",",E64)+1,LEN(E64))),Tactics!$B$2:$B$8,0))))</f>
        <v>TA0042</v>
      </c>
      <c r="E64" s="12" t="s">
        <v>91</v>
      </c>
    </row>
    <row r="65" spans="1:5" ht="72.599999999999994">
      <c r="A65" s="12" t="s">
        <v>204</v>
      </c>
      <c r="B65" s="12" t="s">
        <v>205</v>
      </c>
      <c r="C65" s="12" t="s">
        <v>206</v>
      </c>
      <c r="D65" s="12" t="str">
        <f>IF(ISERROR(FIND(",",E65)),INDEX(Tactics!$A$2:$A$8,MATCH(TRIM(E65),Tactics!$B$2:$B$8,0)),_xlfn.TEXTJOIN(", ",TRUE,INDEX(Tactics!$A$2:$A$8,MATCH(TRIM(LEFT(E65,FIND(",",E65)-1)),Tactics!$B$2:$B$8,0)),INDEX(Tactics!$A$2:$A$8,MATCH(TRIM(MID(E65,FIND(",",E65)+1,LEN(E65))),Tactics!$B$2:$B$8,0))))</f>
        <v>TA0042</v>
      </c>
      <c r="E65" s="12" t="s">
        <v>91</v>
      </c>
    </row>
    <row r="66" spans="1:5" ht="174">
      <c r="A66" s="12" t="s">
        <v>207</v>
      </c>
      <c r="B66" s="12" t="s">
        <v>208</v>
      </c>
      <c r="C66" s="12" t="s">
        <v>209</v>
      </c>
      <c r="D66" s="12" t="str">
        <f>IF(ISERROR(FIND(",",E66)),INDEX(Tactics!$A$2:$A$8,MATCH(TRIM(E66),Tactics!$B$2:$B$8,0)),_xlfn.TEXTJOIN(", ",TRUE,INDEX(Tactics!$A$2:$A$8,MATCH(TRIM(LEFT(E66,FIND(",",E66)-1)),Tactics!$B$2:$B$8,0)),INDEX(Tactics!$A$2:$A$8,MATCH(TRIM(MID(E66,FIND(",",E66)+1,LEN(E66))),Tactics!$B$2:$B$8,0))))</f>
        <v>TA0001</v>
      </c>
      <c r="E66" s="12" t="s">
        <v>36</v>
      </c>
    </row>
    <row r="67" spans="1:5" ht="72.599999999999994">
      <c r="A67" s="12" t="s">
        <v>210</v>
      </c>
      <c r="B67" s="12" t="s">
        <v>211</v>
      </c>
      <c r="C67" s="12" t="s">
        <v>212</v>
      </c>
      <c r="D67" s="12" t="str">
        <f>IF(ISERROR(FIND(",",E67)),INDEX(Tactics!$A$2:$A$8,MATCH(TRIM(E67),Tactics!$B$2:$B$8,0)),_xlfn.TEXTJOIN(", ",TRUE,INDEX(Tactics!$A$2:$A$8,MATCH(TRIM(LEFT(E67,FIND(",",E67)-1)),Tactics!$B$2:$B$8,0)),INDEX(Tactics!$A$2:$A$8,MATCH(TRIM(MID(E67,FIND(",",E67)+1,LEN(E67))),Tactics!$B$2:$B$8,0))))</f>
        <v>FA0002</v>
      </c>
      <c r="E67" s="12" t="s">
        <v>149</v>
      </c>
    </row>
    <row r="68" spans="1:5" ht="72.599999999999994">
      <c r="A68" s="12" t="s">
        <v>213</v>
      </c>
      <c r="B68" s="12" t="s">
        <v>214</v>
      </c>
      <c r="C68" s="12" t="s">
        <v>215</v>
      </c>
      <c r="D68" s="12" t="str">
        <f>IF(ISERROR(FIND(",",E68)),INDEX(Tactics!$A$2:$A$8,MATCH(TRIM(E68),Tactics!$B$2:$B$8,0)),_xlfn.TEXTJOIN(", ",TRUE,INDEX(Tactics!$A$2:$A$8,MATCH(TRIM(LEFT(E68,FIND(",",E68)-1)),Tactics!$B$2:$B$8,0)),INDEX(Tactics!$A$2:$A$8,MATCH(TRIM(MID(E68,FIND(",",E68)+1,LEN(E68))),Tactics!$B$2:$B$8,0))))</f>
        <v>TA0042</v>
      </c>
      <c r="E68" s="12" t="s">
        <v>91</v>
      </c>
    </row>
    <row r="69" spans="1:5" ht="72.599999999999994">
      <c r="A69" s="12" t="s">
        <v>216</v>
      </c>
      <c r="B69" s="12" t="s">
        <v>217</v>
      </c>
      <c r="C69" s="12" t="s">
        <v>218</v>
      </c>
      <c r="D69" s="12" t="str">
        <f>IF(ISERROR(FIND(",",E69)),INDEX(Tactics!$A$2:$A$8,MATCH(TRIM(E69),Tactics!$B$2:$B$8,0)),_xlfn.TEXTJOIN(", ",TRUE,INDEX(Tactics!$A$2:$A$8,MATCH(TRIM(LEFT(E69,FIND(",",E69)-1)),Tactics!$B$2:$B$8,0)),INDEX(Tactics!$A$2:$A$8,MATCH(TRIM(MID(E69,FIND(",",E69)+1,LEN(E69))),Tactics!$B$2:$B$8,0))))</f>
        <v>TA0042</v>
      </c>
      <c r="E69" s="12" t="s">
        <v>91</v>
      </c>
    </row>
    <row r="70" spans="1:5" ht="121.5">
      <c r="A70" s="12" t="s">
        <v>219</v>
      </c>
      <c r="B70" s="12" t="s">
        <v>220</v>
      </c>
      <c r="C70" s="12" t="s">
        <v>221</v>
      </c>
      <c r="D70" s="12" t="str">
        <f>IF(ISERROR(FIND(",",E70)),INDEX(Tactics!$A$2:$A$8,MATCH(TRIM(E70),Tactics!$B$2:$B$8,0)),_xlfn.TEXTJOIN(", ",TRUE,INDEX(Tactics!$A$2:$A$8,MATCH(TRIM(LEFT(E70,FIND(",",E70)-1)),Tactics!$B$2:$B$8,0)),INDEX(Tactics!$A$2:$A$8,MATCH(TRIM(MID(E70,FIND(",",E70)+1,LEN(E70))),Tactics!$B$2:$B$8,0))))</f>
        <v>TA0042</v>
      </c>
      <c r="E70" s="12" t="s">
        <v>91</v>
      </c>
    </row>
    <row r="71" spans="1:5" ht="91.5">
      <c r="A71" s="12" t="s">
        <v>222</v>
      </c>
      <c r="B71" s="12" t="s">
        <v>223</v>
      </c>
      <c r="C71" s="12" t="s">
        <v>224</v>
      </c>
      <c r="D71" s="12" t="str">
        <f>IF(ISERROR(FIND(",",E71)),INDEX(Tactics!$A$2:$A$8,MATCH(TRIM(E71),Tactics!$B$2:$B$8,0)),_xlfn.TEXTJOIN(", ",TRUE,INDEX(Tactics!$A$2:$A$8,MATCH(TRIM(LEFT(E71,FIND(",",E71)-1)),Tactics!$B$2:$B$8,0)),INDEX(Tactics!$A$2:$A$8,MATCH(TRIM(MID(E71,FIND(",",E71)+1,LEN(E71))),Tactics!$B$2:$B$8,0))))</f>
        <v>TA0042</v>
      </c>
      <c r="E71" s="12" t="s">
        <v>91</v>
      </c>
    </row>
    <row r="72" spans="1:5" ht="101.45">
      <c r="A72" s="12" t="s">
        <v>225</v>
      </c>
      <c r="B72" s="12" t="s">
        <v>226</v>
      </c>
      <c r="C72" s="12" t="s">
        <v>227</v>
      </c>
      <c r="D72" s="12" t="str">
        <f>IF(ISERROR(FIND(",",E72)),INDEX(Tactics!$A$2:$A$8,MATCH(TRIM(E72),Tactics!$B$2:$B$8,0)),_xlfn.TEXTJOIN(", ",TRUE,INDEX(Tactics!$A$2:$A$8,MATCH(TRIM(LEFT(E72,FIND(",",E72)-1)),Tactics!$B$2:$B$8,0)),INDEX(Tactics!$A$2:$A$8,MATCH(TRIM(MID(E72,FIND(",",E72)+1,LEN(E72))),Tactics!$B$2:$B$8,0))))</f>
        <v>TA0043</v>
      </c>
      <c r="E72" s="6" t="s">
        <v>228</v>
      </c>
    </row>
    <row r="73" spans="1:5" ht="72.599999999999994">
      <c r="A73" s="12" t="s">
        <v>229</v>
      </c>
      <c r="B73" s="12" t="s">
        <v>230</v>
      </c>
      <c r="C73" s="12" t="s">
        <v>231</v>
      </c>
      <c r="D73" s="12" t="str">
        <f>IF(ISERROR(FIND(",",E73)),INDEX(Tactics!$A$2:$A$8,MATCH(TRIM(E73),Tactics!$B$2:$B$8,0)),_xlfn.TEXTJOIN(", ",TRUE,INDEX(Tactics!$A$2:$A$8,MATCH(TRIM(LEFT(E73,FIND(",",E73)-1)),Tactics!$B$2:$B$8,0)),INDEX(Tactics!$A$2:$A$8,MATCH(TRIM(MID(E73,FIND(",",E73)+1,LEN(E73))),Tactics!$B$2:$B$8,0))))</f>
        <v>TA0043</v>
      </c>
      <c r="E73" s="6" t="s">
        <v>228</v>
      </c>
    </row>
    <row r="74" spans="1:5" ht="87">
      <c r="A74" s="12" t="s">
        <v>232</v>
      </c>
      <c r="B74" s="12" t="s">
        <v>233</v>
      </c>
      <c r="C74" s="12" t="s">
        <v>234</v>
      </c>
      <c r="D74" s="12" t="str">
        <f>IF(ISERROR(FIND(",",E74)),INDEX(Tactics!$A$2:$A$8,MATCH(TRIM(E74),Tactics!$B$2:$B$8,0)),_xlfn.TEXTJOIN(", ",TRUE,INDEX(Tactics!$A$2:$A$8,MATCH(TRIM(LEFT(E74,FIND(",",E74)-1)),Tactics!$B$2:$B$8,0)),INDEX(Tactics!$A$2:$A$8,MATCH(TRIM(MID(E74,FIND(",",E74)+1,LEN(E74))),Tactics!$B$2:$B$8,0))))</f>
        <v>TA0043</v>
      </c>
      <c r="E74" s="6" t="s">
        <v>228</v>
      </c>
    </row>
    <row r="75" spans="1:5" ht="72.599999999999994">
      <c r="A75" s="12" t="s">
        <v>235</v>
      </c>
      <c r="B75" s="12" t="s">
        <v>236</v>
      </c>
      <c r="C75" s="12" t="s">
        <v>237</v>
      </c>
      <c r="D75" s="12" t="str">
        <f>IF(ISERROR(FIND(",",E75)),INDEX(Tactics!$A$2:$A$8,MATCH(TRIM(E75),Tactics!$B$2:$B$8,0)),_xlfn.TEXTJOIN(", ",TRUE,INDEX(Tactics!$A$2:$A$8,MATCH(TRIM(LEFT(E75,FIND(",",E75)-1)),Tactics!$B$2:$B$8,0)),INDEX(Tactics!$A$2:$A$8,MATCH(TRIM(MID(E75,FIND(",",E75)+1,LEN(E75))),Tactics!$B$2:$B$8,0))))</f>
        <v>TA0005</v>
      </c>
      <c r="E75" s="12" t="s">
        <v>10</v>
      </c>
    </row>
    <row r="76" spans="1:5" ht="101.45">
      <c r="A76" s="12" t="s">
        <v>238</v>
      </c>
      <c r="B76" s="12" t="s">
        <v>239</v>
      </c>
      <c r="C76" s="12" t="s">
        <v>240</v>
      </c>
      <c r="D76" s="12" t="str">
        <f>IF(ISERROR(FIND(",",E76)),INDEX(Tactics!$A$2:$A$8,MATCH(TRIM(E76),Tactics!$B$2:$B$8,0)),_xlfn.TEXTJOIN(", ",TRUE,INDEX(Tactics!$A$2:$A$8,MATCH(TRIM(LEFT(E76,FIND(",",E76)-1)),Tactics!$B$2:$B$8,0)),INDEX(Tactics!$A$2:$A$8,MATCH(TRIM(MID(E76,FIND(",",E76)+1,LEN(E76))),Tactics!$B$2:$B$8,0))))</f>
        <v>TA0005</v>
      </c>
      <c r="E76" s="12" t="s">
        <v>10</v>
      </c>
    </row>
    <row r="77" spans="1:5" ht="290.10000000000002">
      <c r="A77" s="12" t="s">
        <v>241</v>
      </c>
      <c r="B77" s="12" t="s">
        <v>242</v>
      </c>
      <c r="C77" s="12" t="s">
        <v>243</v>
      </c>
      <c r="D77" s="12" t="str">
        <f>IF(ISERROR(FIND(",",E77)),INDEX(Tactics!$A$2:$A$8,MATCH(TRIM(E77),Tactics!$B$2:$B$8,0)),_xlfn.TEXTJOIN(", ",TRUE,INDEX(Tactics!$A$2:$A$8,MATCH(TRIM(LEFT(E77,FIND(",",E77)-1)),Tactics!$B$2:$B$8,0)),INDEX(Tactics!$A$2:$A$8,MATCH(TRIM(MID(E77,FIND(",",E77)+1,LEN(E77))),Tactics!$B$2:$B$8,0))))</f>
        <v>TA0001</v>
      </c>
      <c r="E77" s="12" t="s">
        <v>36</v>
      </c>
    </row>
    <row r="78" spans="1:5" ht="188.45">
      <c r="A78" s="12" t="s">
        <v>244</v>
      </c>
      <c r="B78" s="12" t="s">
        <v>245</v>
      </c>
      <c r="C78" s="12" t="s">
        <v>246</v>
      </c>
      <c r="D78" s="12" t="str">
        <f>IF(ISERROR(FIND(",",E78)),INDEX(Tactics!$A$2:$A$8,MATCH(TRIM(E78),Tactics!$B$2:$B$8,0)),_xlfn.TEXTJOIN(", ",TRUE,INDEX(Tactics!$A$2:$A$8,MATCH(TRIM(LEFT(E78,FIND(",",E78)-1)),Tactics!$B$2:$B$8,0)),INDEX(Tactics!$A$2:$A$8,MATCH(TRIM(MID(E78,FIND(",",E78)+1,LEN(E78))),Tactics!$B$2:$B$8,0))))</f>
        <v>TA0005</v>
      </c>
      <c r="E78" s="12" t="s">
        <v>10</v>
      </c>
    </row>
    <row r="79" spans="1:5" ht="87">
      <c r="A79" s="12" t="s">
        <v>247</v>
      </c>
      <c r="B79" s="12" t="s">
        <v>248</v>
      </c>
      <c r="C79" s="12" t="s">
        <v>249</v>
      </c>
      <c r="D79" s="12" t="str">
        <f>IF(ISERROR(FIND(",",E79)),INDEX(Tactics!$A$2:$A$8,MATCH(TRIM(E79),Tactics!$B$2:$B$8,0)),_xlfn.TEXTJOIN(", ",TRUE,INDEX(Tactics!$A$2:$A$8,MATCH(TRIM(LEFT(E79,FIND(",",E79)-1)),Tactics!$B$2:$B$8,0)),INDEX(Tactics!$A$2:$A$8,MATCH(TRIM(MID(E79,FIND(",",E79)+1,LEN(E79))),Tactics!$B$2:$B$8,0))))</f>
        <v>TA0001</v>
      </c>
      <c r="E79" s="12" t="s">
        <v>36</v>
      </c>
    </row>
    <row r="80" spans="1:5" ht="275.45">
      <c r="A80" s="12" t="s">
        <v>250</v>
      </c>
      <c r="B80" s="12" t="s">
        <v>251</v>
      </c>
      <c r="C80" s="12" t="s">
        <v>252</v>
      </c>
      <c r="D80" s="12" t="str">
        <f>IF(ISERROR(FIND(",",E80)),INDEX(Tactics!$A$2:$A$8,MATCH(TRIM(E80),Tactics!$B$2:$B$8,0)),_xlfn.TEXTJOIN(", ",TRUE,INDEX(Tactics!$A$2:$A$8,MATCH(TRIM(LEFT(E80,FIND(",",E80)-1)),Tactics!$B$2:$B$8,0)),INDEX(Tactics!$A$2:$A$8,MATCH(TRIM(MID(E80,FIND(",",E80)+1,LEN(E80))),Tactics!$B$2:$B$8,0))))</f>
        <v>TA0042</v>
      </c>
      <c r="E80" s="12" t="s">
        <v>91</v>
      </c>
    </row>
    <row r="81" spans="1:5" ht="72.599999999999994">
      <c r="A81" s="12" t="s">
        <v>253</v>
      </c>
      <c r="B81" s="12" t="s">
        <v>254</v>
      </c>
      <c r="C81" s="12" t="s">
        <v>255</v>
      </c>
      <c r="D81" s="12" t="str">
        <f>IF(ISERROR(FIND(",",E81)),INDEX(Tactics!$A$2:$A$8,MATCH(TRIM(E81),Tactics!$B$2:$B$8,0)),_xlfn.TEXTJOIN(", ",TRUE,INDEX(Tactics!$A$2:$A$8,MATCH(TRIM(LEFT(E81,FIND(",",E81)-1)),Tactics!$B$2:$B$8,0)),INDEX(Tactics!$A$2:$A$8,MATCH(TRIM(MID(E81,FIND(",",E81)+1,LEN(E81))),Tactics!$B$2:$B$8,0))))</f>
        <v>TA0042</v>
      </c>
      <c r="E81" s="12" t="s">
        <v>91</v>
      </c>
    </row>
    <row r="82" spans="1:5" ht="318.95">
      <c r="A82" s="12" t="s">
        <v>256</v>
      </c>
      <c r="B82" s="12" t="s">
        <v>257</v>
      </c>
      <c r="C82" s="12" t="s">
        <v>258</v>
      </c>
      <c r="D82" s="12" t="str">
        <f>IF(ISERROR(FIND(",",E82)),INDEX(Tactics!$A$2:$A$8,MATCH(TRIM(E82),Tactics!$B$2:$B$8,0)),_xlfn.TEXTJOIN(", ",TRUE,INDEX(Tactics!$A$2:$A$8,MATCH(TRIM(LEFT(E82,FIND(",",E82)-1)),Tactics!$B$2:$B$8,0)),INDEX(Tactics!$A$2:$A$8,MATCH(TRIM(MID(E82,FIND(",",E82)+1,LEN(E82))),Tactics!$B$2:$B$8,0))))</f>
        <v>TA0002</v>
      </c>
      <c r="E82" s="12" t="s">
        <v>28</v>
      </c>
    </row>
    <row r="83" spans="1:5" ht="72.599999999999994">
      <c r="A83" s="12" t="s">
        <v>259</v>
      </c>
      <c r="B83" s="12" t="s">
        <v>260</v>
      </c>
      <c r="C83" s="12" t="s">
        <v>261</v>
      </c>
      <c r="D83" s="12" t="str">
        <f>IF(ISERROR(FIND(",",E83)),INDEX(Tactics!$A$2:$A$8,MATCH(TRIM(E83),Tactics!$B$2:$B$8,0)),_xlfn.TEXTJOIN(", ",TRUE,INDEX(Tactics!$A$2:$A$8,MATCH(TRIM(LEFT(E83,FIND(",",E83)-1)),Tactics!$B$2:$B$8,0)),INDEX(Tactics!$A$2:$A$8,MATCH(TRIM(MID(E83,FIND(",",E83)+1,LEN(E83))),Tactics!$B$2:$B$8,0))))</f>
        <v>TA0043</v>
      </c>
      <c r="E83" s="12" t="s">
        <v>228</v>
      </c>
    </row>
    <row r="84" spans="1:5" ht="72.599999999999994">
      <c r="A84" s="12" t="s">
        <v>262</v>
      </c>
      <c r="B84" s="12" t="s">
        <v>263</v>
      </c>
      <c r="C84" s="12" t="s">
        <v>264</v>
      </c>
      <c r="D84" s="12" t="str">
        <f>IF(ISERROR(FIND(",",E84)),INDEX(Tactics!$A$2:$A$8,MATCH(TRIM(E84),Tactics!$B$2:$B$8,0)),_xlfn.TEXTJOIN(", ",TRUE,INDEX(Tactics!$A$2:$A$8,MATCH(TRIM(LEFT(E84,FIND(",",E84)-1)),Tactics!$B$2:$B$8,0)),INDEX(Tactics!$A$2:$A$8,MATCH(TRIM(MID(E84,FIND(",",E84)+1,LEN(E84))),Tactics!$B$2:$B$8,0))))</f>
        <v>TA0005</v>
      </c>
      <c r="E84" s="12" t="s">
        <v>10</v>
      </c>
    </row>
    <row r="85" spans="1:5" ht="87">
      <c r="A85" s="12" t="s">
        <v>265</v>
      </c>
      <c r="B85" s="12" t="s">
        <v>266</v>
      </c>
      <c r="C85" s="12" t="s">
        <v>267</v>
      </c>
      <c r="D85" s="12" t="str">
        <f>IF(ISERROR(FIND(",",E85)),INDEX(Tactics!$A$2:$A$8,MATCH(TRIM(E85),Tactics!$B$2:$B$8,0)),_xlfn.TEXTJOIN(", ",TRUE,INDEX(Tactics!$A$2:$A$8,MATCH(TRIM(LEFT(E85,FIND(",",E85)-1)),Tactics!$B$2:$B$8,0)),INDEX(Tactics!$A$2:$A$8,MATCH(TRIM(MID(E85,FIND(",",E85)+1,LEN(E85))),Tactics!$B$2:$B$8,0))))</f>
        <v>TA0042</v>
      </c>
      <c r="E85" s="12" t="s">
        <v>91</v>
      </c>
    </row>
    <row r="86" spans="1:5" ht="87">
      <c r="A86" s="12" t="s">
        <v>268</v>
      </c>
      <c r="B86" s="12" t="s">
        <v>269</v>
      </c>
      <c r="C86" s="12" t="s">
        <v>270</v>
      </c>
      <c r="D86" s="12" t="str">
        <f>IF(ISERROR(FIND(",",E86)),INDEX(Tactics!$A$2:$A$8,MATCH(TRIM(E86),Tactics!$B$2:$B$8,0)),_xlfn.TEXTJOIN(", ",TRUE,INDEX(Tactics!$A$2:$A$8,MATCH(TRIM(LEFT(E86,FIND(",",E86)-1)),Tactics!$B$2:$B$8,0)),INDEX(Tactics!$A$2:$A$8,MATCH(TRIM(MID(E86,FIND(",",E86)+1,LEN(E86))),Tactics!$B$2:$B$8,0))))</f>
        <v>TA0001, TA0005</v>
      </c>
      <c r="E86" s="12" t="s">
        <v>271</v>
      </c>
    </row>
    <row r="87" spans="1:5" ht="87">
      <c r="A87" s="12" t="s">
        <v>272</v>
      </c>
      <c r="B87" s="12" t="s">
        <v>273</v>
      </c>
      <c r="C87" s="12" t="s">
        <v>274</v>
      </c>
      <c r="D87" s="12" t="str">
        <f>IF(ISERROR(FIND(",",E87)),INDEX(Tactics!$A$2:$A$8,MATCH(TRIM(E87),Tactics!$B$2:$B$8,0)),_xlfn.TEXTJOIN(", ",TRUE,INDEX(Tactics!$A$2:$A$8,MATCH(TRIM(LEFT(E87,FIND(",",E87)-1)),Tactics!$B$2:$B$8,0)),INDEX(Tactics!$A$2:$A$8,MATCH(TRIM(MID(E87,FIND(",",E87)+1,LEN(E87))),Tactics!$B$2:$B$8,0))))</f>
        <v>TA0001, TA0005</v>
      </c>
      <c r="E87" s="12" t="s">
        <v>271</v>
      </c>
    </row>
    <row r="88" spans="1:5" ht="188.45">
      <c r="A88" s="12" t="s">
        <v>275</v>
      </c>
      <c r="B88" s="12" t="s">
        <v>276</v>
      </c>
      <c r="C88" s="12" t="s">
        <v>277</v>
      </c>
      <c r="D88" s="12" t="str">
        <f>IF(ISERROR(FIND(",",E88)),INDEX(Tactics!$A$2:$A$8,MATCH(TRIM(E88),Tactics!$B$2:$B$8,0)),_xlfn.TEXTJOIN(", ",TRUE,INDEX(Tactics!$A$2:$A$8,MATCH(TRIM(LEFT(E88,FIND(",",E88)-1)),Tactics!$B$2:$B$8,0)),INDEX(Tactics!$A$2:$A$8,MATCH(TRIM(MID(E88,FIND(",",E88)+1,LEN(E88))),Tactics!$B$2:$B$8,0))))</f>
        <v>TA0005</v>
      </c>
      <c r="E88" s="12" t="s">
        <v>10</v>
      </c>
    </row>
    <row r="89" spans="1:5" ht="72.599999999999994">
      <c r="A89" s="12" t="s">
        <v>278</v>
      </c>
      <c r="B89" s="12" t="s">
        <v>279</v>
      </c>
      <c r="C89" s="12" t="s">
        <v>280</v>
      </c>
      <c r="D89" s="12" t="str">
        <f>IF(ISERROR(FIND(",",E89)),INDEX(Tactics!$A$2:$A$8,MATCH(TRIM(E89),Tactics!$B$2:$B$8,0)),_xlfn.TEXTJOIN(", ",TRUE,INDEX(Tactics!$A$2:$A$8,MATCH(TRIM(LEFT(E89,FIND(",",E89)-1)),Tactics!$B$2:$B$8,0)),INDEX(Tactics!$A$2:$A$8,MATCH(TRIM(MID(E89,FIND(",",E89)+1,LEN(E89))),Tactics!$B$2:$B$8,0))))</f>
        <v>TA0001</v>
      </c>
      <c r="E89" s="12" t="s">
        <v>36</v>
      </c>
    </row>
    <row r="90" spans="1:5" ht="87">
      <c r="A90" s="12" t="s">
        <v>281</v>
      </c>
      <c r="B90" s="12" t="s">
        <v>282</v>
      </c>
      <c r="C90" s="12" t="s">
        <v>283</v>
      </c>
      <c r="D90" s="12" t="str">
        <f>IF(ISERROR(FIND(",",E90)),INDEX(Tactics!$A$2:$A$8,MATCH(TRIM(E90),Tactics!$B$2:$B$8,0)),_xlfn.TEXTJOIN(", ",TRUE,INDEX(Tactics!$A$2:$A$8,MATCH(TRIM(LEFT(E90,FIND(",",E90)-1)),Tactics!$B$2:$B$8,0)),INDEX(Tactics!$A$2:$A$8,MATCH(TRIM(MID(E90,FIND(",",E90)+1,LEN(E90))),Tactics!$B$2:$B$8,0))))</f>
        <v>TA0043</v>
      </c>
      <c r="E90" s="12" t="s">
        <v>228</v>
      </c>
    </row>
    <row r="91" spans="1:5" ht="72.599999999999994">
      <c r="A91" s="12" t="s">
        <v>284</v>
      </c>
      <c r="B91" s="12" t="s">
        <v>285</v>
      </c>
      <c r="C91" s="12" t="s">
        <v>286</v>
      </c>
      <c r="D91" s="12" t="str">
        <f>IF(ISERROR(FIND(",",E91)),INDEX(Tactics!$A$2:$A$8,MATCH(TRIM(E91),Tactics!$B$2:$B$8,0)),_xlfn.TEXTJOIN(", ",TRUE,INDEX(Tactics!$A$2:$A$8,MATCH(TRIM(LEFT(E91,FIND(",",E91)-1)),Tactics!$B$2:$B$8,0)),INDEX(Tactics!$A$2:$A$8,MATCH(TRIM(MID(E91,FIND(",",E91)+1,LEN(E91))),Tactics!$B$2:$B$8,0))))</f>
        <v>FA0001</v>
      </c>
      <c r="E91" s="12" t="s">
        <v>14</v>
      </c>
    </row>
    <row r="92" spans="1:5" ht="87">
      <c r="A92" s="12" t="s">
        <v>287</v>
      </c>
      <c r="B92" s="12" t="s">
        <v>288</v>
      </c>
      <c r="C92" s="12" t="s">
        <v>289</v>
      </c>
      <c r="D92" s="12" t="str">
        <f>IF(ISERROR(FIND(",",E92)),INDEX(Tactics!$A$2:$A$8,MATCH(TRIM(E92),Tactics!$B$2:$B$8,0)),_xlfn.TEXTJOIN(", ",TRUE,INDEX(Tactics!$A$2:$A$8,MATCH(TRIM(LEFT(E92,FIND(",",E92)-1)),Tactics!$B$2:$B$8,0)),INDEX(Tactics!$A$2:$A$8,MATCH(TRIM(MID(E92,FIND(",",E92)+1,LEN(E92))),Tactics!$B$2:$B$8,0))))</f>
        <v>TA0001</v>
      </c>
      <c r="E92" s="12" t="s">
        <v>36</v>
      </c>
    </row>
    <row r="93" spans="1:5" ht="72.599999999999994">
      <c r="A93" s="12" t="s">
        <v>290</v>
      </c>
      <c r="B93" s="12" t="s">
        <v>291</v>
      </c>
      <c r="C93" s="12" t="s">
        <v>292</v>
      </c>
      <c r="D93" s="12" t="str">
        <f>IF(ISERROR(FIND(",",E93)),INDEX(Tactics!$A$2:$A$8,MATCH(TRIM(E93),Tactics!$B$2:$B$8,0)),_xlfn.TEXTJOIN(", ",TRUE,INDEX(Tactics!$A$2:$A$8,MATCH(TRIM(LEFT(E93,FIND(",",E93)-1)),Tactics!$B$2:$B$8,0)),INDEX(Tactics!$A$2:$A$8,MATCH(TRIM(MID(E93,FIND(",",E93)+1,LEN(E93))),Tactics!$B$2:$B$8,0))))</f>
        <v>TA0005</v>
      </c>
      <c r="E93" s="12" t="s">
        <v>10</v>
      </c>
    </row>
    <row r="94" spans="1:5" ht="43.5">
      <c r="A94" s="12" t="s">
        <v>293</v>
      </c>
      <c r="B94" s="12" t="s">
        <v>294</v>
      </c>
      <c r="C94" s="12" t="s">
        <v>295</v>
      </c>
      <c r="D94" s="12" t="str">
        <f>IF(ISERROR(FIND(",",E94)),INDEX(Tactics!$A$2:$A$8,MATCH(TRIM(E94),Tactics!$B$2:$B$8,0)),_xlfn.TEXTJOIN(", ",TRUE,INDEX(Tactics!$A$2:$A$8,MATCH(TRIM(LEFT(E94,FIND(",",E94)-1)),Tactics!$B$2:$B$8,0)),INDEX(Tactics!$A$2:$A$8,MATCH(TRIM(MID(E94,FIND(",",E94)+1,LEN(E94))),Tactics!$B$2:$B$8,0))))</f>
        <v>FA0001</v>
      </c>
      <c r="E94" s="12" t="s">
        <v>14</v>
      </c>
    </row>
    <row r="95" spans="1:5" ht="101.45">
      <c r="A95" s="12" t="s">
        <v>296</v>
      </c>
      <c r="B95" s="12" t="s">
        <v>297</v>
      </c>
      <c r="C95" s="12" t="s">
        <v>298</v>
      </c>
      <c r="D95" s="12" t="str">
        <f>IF(ISERROR(FIND(",",E95)),INDEX(Tactics!$A$2:$A$8,MATCH(TRIM(E95),Tactics!$B$2:$B$8,0)),_xlfn.TEXTJOIN(", ",TRUE,INDEX(Tactics!$A$2:$A$8,MATCH(TRIM(LEFT(E95,FIND(",",E95)-1)),Tactics!$B$2:$B$8,0)),INDEX(Tactics!$A$2:$A$8,MATCH(TRIM(MID(E95,FIND(",",E95)+1,LEN(E95))),Tactics!$B$2:$B$8,0))))</f>
        <v>TA0002</v>
      </c>
      <c r="E95" s="12" t="s">
        <v>28</v>
      </c>
    </row>
    <row r="96" spans="1:5" ht="87">
      <c r="A96" s="12" t="s">
        <v>299</v>
      </c>
      <c r="B96" s="12" t="s">
        <v>300</v>
      </c>
      <c r="C96" s="12" t="s">
        <v>301</v>
      </c>
      <c r="D96" s="12" t="str">
        <f>IF(ISERROR(FIND(",",E96)),INDEX(Tactics!$A$2:$A$8,MATCH(TRIM(E96),Tactics!$B$2:$B$8,0)),_xlfn.TEXTJOIN(", ",TRUE,INDEX(Tactics!$A$2:$A$8,MATCH(TRIM(LEFT(E96,FIND(",",E96)-1)),Tactics!$B$2:$B$8,0)),INDEX(Tactics!$A$2:$A$8,MATCH(TRIM(MID(E96,FIND(",",E96)+1,LEN(E96))),Tactics!$B$2:$B$8,0))))</f>
        <v>TA0005</v>
      </c>
      <c r="E96" s="12" t="s">
        <v>10</v>
      </c>
    </row>
    <row r="97" spans="1:5" ht="72.599999999999994">
      <c r="A97" s="12" t="s">
        <v>302</v>
      </c>
      <c r="B97" s="12" t="s">
        <v>303</v>
      </c>
      <c r="C97" s="12" t="s">
        <v>304</v>
      </c>
      <c r="D97" s="12" t="str">
        <f>IF(ISERROR(FIND(",",E97)),INDEX(Tactics!$A$2:$A$8,MATCH(TRIM(E97),Tactics!$B$2:$B$8,0)),_xlfn.TEXTJOIN(", ",TRUE,INDEX(Tactics!$A$2:$A$8,MATCH(TRIM(LEFT(E97,FIND(",",E97)-1)),Tactics!$B$2:$B$8,0)),INDEX(Tactics!$A$2:$A$8,MATCH(TRIM(MID(E97,FIND(",",E97)+1,LEN(E97))),Tactics!$B$2:$B$8,0))))</f>
        <v>TA0042</v>
      </c>
      <c r="E97" s="12" t="s">
        <v>91</v>
      </c>
    </row>
    <row r="98" spans="1:5" ht="106.5">
      <c r="A98" s="12" t="s">
        <v>305</v>
      </c>
      <c r="B98" s="12" t="s">
        <v>306</v>
      </c>
      <c r="C98" s="12" t="s">
        <v>307</v>
      </c>
      <c r="D98" s="12" t="str">
        <f>IF(ISERROR(FIND(",",E98)),INDEX(Tactics!$A$2:$A$8,MATCH(TRIM(E98),Tactics!$B$2:$B$8,0)),_xlfn.TEXTJOIN(", ",TRUE,INDEX(Tactics!$A$2:$A$8,MATCH(TRIM(LEFT(E98,FIND(",",E98)-1)),Tactics!$B$2:$B$8,0)),INDEX(Tactics!$A$2:$A$8,MATCH(TRIM(MID(E98,FIND(",",E98)+1,LEN(E98))),Tactics!$B$2:$B$8,0))))</f>
        <v>TA0005</v>
      </c>
      <c r="E98" s="12" t="s">
        <v>10</v>
      </c>
    </row>
    <row r="99" spans="1:5" ht="72.599999999999994">
      <c r="A99" s="12" t="s">
        <v>308</v>
      </c>
      <c r="B99" s="12" t="s">
        <v>309</v>
      </c>
      <c r="C99" s="12" t="s">
        <v>310</v>
      </c>
      <c r="D99" s="12" t="str">
        <f>IF(ISERROR(FIND(",",E99)),INDEX(Tactics!$A$2:$A$8,MATCH(TRIM(E99),Tactics!$B$2:$B$8,0)),_xlfn.TEXTJOIN(", ",TRUE,INDEX(Tactics!$A$2:$A$8,MATCH(TRIM(LEFT(E99,FIND(",",E99)-1)),Tactics!$B$2:$B$8,0)),INDEX(Tactics!$A$2:$A$8,MATCH(TRIM(MID(E99,FIND(",",E99)+1,LEN(E99))),Tactics!$B$2:$B$8,0))))</f>
        <v>TA0043</v>
      </c>
      <c r="E99" s="6" t="s">
        <v>228</v>
      </c>
    </row>
    <row r="100" spans="1:5" ht="290.10000000000002">
      <c r="A100" s="12" t="s">
        <v>311</v>
      </c>
      <c r="B100" s="12" t="s">
        <v>312</v>
      </c>
      <c r="C100" s="12" t="s">
        <v>313</v>
      </c>
      <c r="D100" s="12" t="str">
        <f>IF(ISERROR(FIND(",",E100)),INDEX(Tactics!$A$2:$A$8,MATCH(TRIM(E100),Tactics!$B$2:$B$8,0)),_xlfn.TEXTJOIN(", ",TRUE,INDEX(Tactics!$A$2:$A$8,MATCH(TRIM(LEFT(E100,FIND(",",E100)-1)),Tactics!$B$2:$B$8,0)),INDEX(Tactics!$A$2:$A$8,MATCH(TRIM(MID(E100,FIND(",",E100)+1,LEN(E100))),Tactics!$B$2:$B$8,0))))</f>
        <v>TA0043</v>
      </c>
      <c r="E100" s="6" t="s">
        <v>228</v>
      </c>
    </row>
    <row r="101" spans="1:5" ht="87">
      <c r="A101" s="12" t="s">
        <v>314</v>
      </c>
      <c r="B101" s="12" t="s">
        <v>315</v>
      </c>
      <c r="C101" s="12" t="s">
        <v>316</v>
      </c>
      <c r="D101" s="12" t="str">
        <f>IF(ISERROR(FIND(",",E101)),INDEX(Tactics!$A$2:$A$8,MATCH(TRIM(E101),Tactics!$B$2:$B$8,0)),_xlfn.TEXTJOIN(", ",TRUE,INDEX(Tactics!$A$2:$A$8,MATCH(TRIM(LEFT(E101,FIND(",",E101)-1)),Tactics!$B$2:$B$8,0)),INDEX(Tactics!$A$2:$A$8,MATCH(TRIM(MID(E101,FIND(",",E101)+1,LEN(E101))),Tactics!$B$2:$B$8,0))))</f>
        <v>FA0001</v>
      </c>
      <c r="E101" s="12" t="s">
        <v>14</v>
      </c>
    </row>
    <row r="102" spans="1:5" ht="43.5">
      <c r="A102" s="12" t="s">
        <v>317</v>
      </c>
      <c r="B102" s="12" t="s">
        <v>318</v>
      </c>
      <c r="C102" s="12" t="s">
        <v>319</v>
      </c>
      <c r="D102" s="12" t="str">
        <f>IF(ISERROR(FIND(",",E102)),INDEX(Tactics!$A$2:$A$8,MATCH(TRIM(E102),Tactics!$B$2:$B$8,0)),_xlfn.TEXTJOIN(", ",TRUE,INDEX(Tactics!$A$2:$A$8,MATCH(TRIM(LEFT(E102,FIND(",",E102)-1)),Tactics!$B$2:$B$8,0)),INDEX(Tactics!$A$2:$A$8,MATCH(TRIM(MID(E102,FIND(",",E102)+1,LEN(E102))),Tactics!$B$2:$B$8,0))))</f>
        <v>TA0001</v>
      </c>
      <c r="E102" s="12" t="s">
        <v>36</v>
      </c>
    </row>
    <row r="103" spans="1:5" ht="87">
      <c r="A103" s="12" t="s">
        <v>320</v>
      </c>
      <c r="B103" s="12" t="s">
        <v>321</v>
      </c>
      <c r="C103" s="12" t="s">
        <v>322</v>
      </c>
      <c r="D103" s="12" t="str">
        <f>IF(ISERROR(FIND(",",E103)),INDEX(Tactics!$A$2:$A$8,MATCH(TRIM(E103),Tactics!$B$2:$B$8,0)),_xlfn.TEXTJOIN(", ",TRUE,INDEX(Tactics!$A$2:$A$8,MATCH(TRIM(LEFT(E103,FIND(",",E103)-1)),Tactics!$B$2:$B$8,0)),INDEX(Tactics!$A$2:$A$8,MATCH(TRIM(MID(E103,FIND(",",E103)+1,LEN(E103))),Tactics!$B$2:$B$8,0))))</f>
        <v>FA0001</v>
      </c>
      <c r="E103" s="12" t="s">
        <v>14</v>
      </c>
    </row>
    <row r="104" spans="1:5" ht="159.6">
      <c r="A104" s="12" t="s">
        <v>323</v>
      </c>
      <c r="B104" s="12" t="s">
        <v>324</v>
      </c>
      <c r="C104" s="12" t="s">
        <v>325</v>
      </c>
      <c r="D104" s="12" t="str">
        <f>IF(ISERROR(FIND(",",E104)),INDEX(Tactics!$A$2:$A$8,MATCH(TRIM(E104),Tactics!$B$2:$B$8,0)),_xlfn.TEXTJOIN(", ",TRUE,INDEX(Tactics!$A$2:$A$8,MATCH(TRIM(LEFT(E104,FIND(",",E104)-1)),Tactics!$B$2:$B$8,0)),INDEX(Tactics!$A$2:$A$8,MATCH(TRIM(MID(E104,FIND(",",E104)+1,LEN(E104))),Tactics!$B$2:$B$8,0))))</f>
        <v>FA0001</v>
      </c>
      <c r="E104" s="12" t="s">
        <v>14</v>
      </c>
    </row>
    <row r="105" spans="1:5" ht="87">
      <c r="A105" s="12" t="s">
        <v>326</v>
      </c>
      <c r="B105" s="12" t="s">
        <v>327</v>
      </c>
      <c r="C105" s="12" t="s">
        <v>328</v>
      </c>
      <c r="D105" s="12" t="str">
        <f>IF(ISERROR(FIND(",",E105)),INDEX(Tactics!$A$2:$A$8,MATCH(TRIM(E105),Tactics!$B$2:$B$8,0)),_xlfn.TEXTJOIN(", ",TRUE,INDEX(Tactics!$A$2:$A$8,MATCH(TRIM(LEFT(E105,FIND(",",E105)-1)),Tactics!$B$2:$B$8,0)),INDEX(Tactics!$A$2:$A$8,MATCH(TRIM(MID(E105,FIND(",",E105)+1,LEN(E105))),Tactics!$B$2:$B$8,0))))</f>
        <v>TA0002</v>
      </c>
      <c r="E105" s="12" t="s">
        <v>28</v>
      </c>
    </row>
    <row r="106" spans="1:5" ht="159.6">
      <c r="A106" s="12" t="s">
        <v>329</v>
      </c>
      <c r="B106" s="12" t="s">
        <v>330</v>
      </c>
      <c r="C106" s="12" t="s">
        <v>331</v>
      </c>
      <c r="D106" s="12" t="str">
        <f>IF(ISERROR(FIND(",",E106)),INDEX(Tactics!$A$2:$A$8,MATCH(TRIM(E106),Tactics!$B$2:$B$8,0)),_xlfn.TEXTJOIN(", ",TRUE,INDEX(Tactics!$A$2:$A$8,MATCH(TRIM(LEFT(E106,FIND(",",E106)-1)),Tactics!$B$2:$B$8,0)),INDEX(Tactics!$A$2:$A$8,MATCH(TRIM(MID(E106,FIND(",",E106)+1,LEN(E106))),Tactics!$B$2:$B$8,0))))</f>
        <v>TA0002</v>
      </c>
      <c r="E106" s="12" t="s">
        <v>28</v>
      </c>
    </row>
    <row r="107" spans="1:5" ht="72.599999999999994">
      <c r="A107" s="12" t="s">
        <v>332</v>
      </c>
      <c r="B107" s="12" t="s">
        <v>333</v>
      </c>
      <c r="C107" s="12" t="s">
        <v>334</v>
      </c>
      <c r="D107" s="12" t="str">
        <f>IF(ISERROR(FIND(",",E107)),INDEX(Tactics!$A$2:$A$8,MATCH(TRIM(E107),Tactics!$B$2:$B$8,0)),_xlfn.TEXTJOIN(", ",TRUE,INDEX(Tactics!$A$2:$A$8,MATCH(TRIM(LEFT(E107,FIND(",",E107)-1)),Tactics!$B$2:$B$8,0)),INDEX(Tactics!$A$2:$A$8,MATCH(TRIM(MID(E107,FIND(",",E107)+1,LEN(E107))),Tactics!$B$2:$B$8,0))))</f>
        <v>FA0001</v>
      </c>
      <c r="E107" s="12" t="s">
        <v>14</v>
      </c>
    </row>
    <row r="108" spans="1:5" ht="43.5">
      <c r="A108" s="12" t="s">
        <v>335</v>
      </c>
      <c r="B108" s="12" t="s">
        <v>336</v>
      </c>
      <c r="C108" s="12" t="s">
        <v>337</v>
      </c>
      <c r="D108" s="12" t="str">
        <f>IF(ISERROR(FIND(",",E108)),INDEX(Tactics!$A$2:$A$8,MATCH(TRIM(E108),Tactics!$B$2:$B$8,0)),_xlfn.TEXTJOIN(", ",TRUE,INDEX(Tactics!$A$2:$A$8,MATCH(TRIM(LEFT(E108,FIND(",",E108)-1)),Tactics!$B$2:$B$8,0)),INDEX(Tactics!$A$2:$A$8,MATCH(TRIM(MID(E108,FIND(",",E108)+1,LEN(E108))),Tactics!$B$2:$B$8,0))))</f>
        <v>TA0001</v>
      </c>
      <c r="E108" s="12" t="s">
        <v>36</v>
      </c>
    </row>
    <row r="109" spans="1:5" ht="87">
      <c r="A109" s="12" t="s">
        <v>338</v>
      </c>
      <c r="B109" s="12" t="s">
        <v>339</v>
      </c>
      <c r="C109" s="12" t="s">
        <v>340</v>
      </c>
      <c r="D109" s="12" t="str">
        <f>IF(ISERROR(FIND(",",E109)),INDEX(Tactics!$A$2:$A$8,MATCH(TRIM(E109),Tactics!$B$2:$B$8,0)),_xlfn.TEXTJOIN(", ",TRUE,INDEX(Tactics!$A$2:$A$8,MATCH(TRIM(LEFT(E109,FIND(",",E109)-1)),Tactics!$B$2:$B$8,0)),INDEX(Tactics!$A$2:$A$8,MATCH(TRIM(MID(E109,FIND(",",E109)+1,LEN(E109))),Tactics!$B$2:$B$8,0))))</f>
        <v>TA0001</v>
      </c>
      <c r="E109" s="12" t="s">
        <v>36</v>
      </c>
    </row>
    <row r="110" spans="1:5" ht="72.599999999999994">
      <c r="A110" s="12" t="s">
        <v>341</v>
      </c>
      <c r="B110" s="12" t="s">
        <v>342</v>
      </c>
      <c r="C110" s="12" t="s">
        <v>343</v>
      </c>
      <c r="D110" s="12" t="str">
        <f>IF(ISERROR(FIND(",",E110)),INDEX(Tactics!$A$2:$A$8,MATCH(TRIM(E110),Tactics!$B$2:$B$8,0)),_xlfn.TEXTJOIN(", ",TRUE,INDEX(Tactics!$A$2:$A$8,MATCH(TRIM(LEFT(E110,FIND(",",E110)-1)),Tactics!$B$2:$B$8,0)),INDEX(Tactics!$A$2:$A$8,MATCH(TRIM(MID(E110,FIND(",",E110)+1,LEN(E110))),Tactics!$B$2:$B$8,0))))</f>
        <v>TA0042</v>
      </c>
      <c r="E110" s="12" t="s">
        <v>91</v>
      </c>
    </row>
    <row r="111" spans="1:5" ht="87">
      <c r="A111" s="12" t="s">
        <v>344</v>
      </c>
      <c r="B111" s="12" t="s">
        <v>345</v>
      </c>
      <c r="C111" s="12" t="s">
        <v>346</v>
      </c>
      <c r="D111" s="12" t="str">
        <f>IF(ISERROR(FIND(",",E111)),INDEX(Tactics!$A$2:$A$8,MATCH(TRIM(E111),Tactics!$B$2:$B$8,0)),_xlfn.TEXTJOIN(", ",TRUE,INDEX(Tactics!$A$2:$A$8,MATCH(TRIM(LEFT(E111,FIND(",",E111)-1)),Tactics!$B$2:$B$8,0)),INDEX(Tactics!$A$2:$A$8,MATCH(TRIM(MID(E111,FIND(",",E111)+1,LEN(E111))),Tactics!$B$2:$B$8,0))))</f>
        <v>TA0042</v>
      </c>
      <c r="E111" s="12" t="s">
        <v>91</v>
      </c>
    </row>
    <row r="112" spans="1:5" ht="333.6">
      <c r="A112" s="12" t="s">
        <v>347</v>
      </c>
      <c r="B112" s="12" t="s">
        <v>348</v>
      </c>
      <c r="C112" s="12" t="s">
        <v>349</v>
      </c>
      <c r="D112" s="12" t="str">
        <f>IF(ISERROR(FIND(",",E112)),INDEX(Tactics!$A$2:$A$8,MATCH(TRIM(E112),Tactics!$B$2:$B$8,0)),_xlfn.TEXTJOIN(", ",TRUE,INDEX(Tactics!$A$2:$A$8,MATCH(TRIM(LEFT(E112,FIND(",",E112)-1)),Tactics!$B$2:$B$8,0)),INDEX(Tactics!$A$2:$A$8,MATCH(TRIM(MID(E112,FIND(",",E112)+1,LEN(E112))),Tactics!$B$2:$B$8,0))))</f>
        <v>TA0043, FA0001</v>
      </c>
      <c r="E112" s="12" t="s">
        <v>350</v>
      </c>
    </row>
    <row r="113" spans="1:5" ht="43.5">
      <c r="A113" s="12" t="s">
        <v>351</v>
      </c>
      <c r="B113" s="12" t="s">
        <v>352</v>
      </c>
      <c r="C113" s="12" t="s">
        <v>353</v>
      </c>
      <c r="D113" s="12" t="str">
        <f>IF(ISERROR(FIND(",",E113)),INDEX(Tactics!$A$2:$A$8,MATCH(TRIM(E113),Tactics!$B$2:$B$8,0)),_xlfn.TEXTJOIN(", ",TRUE,INDEX(Tactics!$A$2:$A$8,MATCH(TRIM(LEFT(E113,FIND(",",E113)-1)),Tactics!$B$2:$B$8,0)),INDEX(Tactics!$A$2:$A$8,MATCH(TRIM(MID(E113,FIND(",",E113)+1,LEN(E113))),Tactics!$B$2:$B$8,0))))</f>
        <v>FA0002</v>
      </c>
      <c r="E113" s="12" t="s">
        <v>149</v>
      </c>
    </row>
    <row r="114" spans="1:5" ht="391.5">
      <c r="A114" s="12" t="s">
        <v>354</v>
      </c>
      <c r="B114" s="12" t="s">
        <v>355</v>
      </c>
      <c r="C114" s="12" t="s">
        <v>356</v>
      </c>
      <c r="D114" s="12" t="str">
        <f>IF(ISERROR(FIND(",",E114)),INDEX(Tactics!$A$2:$A$8,MATCH(TRIM(E114),Tactics!$B$2:$B$8,0)),_xlfn.TEXTJOIN(", ",TRUE,INDEX(Tactics!$A$2:$A$8,MATCH(TRIM(LEFT(E114,FIND(",",E114)-1)),Tactics!$B$2:$B$8,0)),INDEX(Tactics!$A$2:$A$8,MATCH(TRIM(MID(E114,FIND(",",E114)+1,LEN(E114))),Tactics!$B$2:$B$8,0))))</f>
        <v>TA0001</v>
      </c>
      <c r="E114" s="12" t="s">
        <v>36</v>
      </c>
    </row>
    <row r="115" spans="1:5" ht="57.95">
      <c r="A115" s="12" t="s">
        <v>357</v>
      </c>
      <c r="B115" s="12" t="s">
        <v>358</v>
      </c>
      <c r="C115" s="12" t="s">
        <v>359</v>
      </c>
      <c r="D115" s="12" t="str">
        <f>IF(ISERROR(FIND(",",E115)),INDEX(Tactics!$A$2:$A$8,MATCH(TRIM(E115),Tactics!$B$2:$B$8,0)),_xlfn.TEXTJOIN(", ",TRUE,INDEX(Tactics!$A$2:$A$8,MATCH(TRIM(LEFT(E115,FIND(",",E115)-1)),Tactics!$B$2:$B$8,0)),INDEX(Tactics!$A$2:$A$8,MATCH(TRIM(MID(E115,FIND(",",E115)+1,LEN(E115))),Tactics!$B$2:$B$8,0))))</f>
        <v>FA0001</v>
      </c>
      <c r="E115" s="12" t="s">
        <v>14</v>
      </c>
    </row>
    <row r="116" spans="1:5" ht="72.599999999999994">
      <c r="A116" s="12" t="s">
        <v>225</v>
      </c>
      <c r="B116" s="12" t="s">
        <v>360</v>
      </c>
      <c r="C116" s="12" t="s">
        <v>361</v>
      </c>
      <c r="D116" s="12" t="str">
        <f>IF(ISERROR(FIND(",",E116)),INDEX(Tactics!$A$2:$A$8,MATCH(TRIM(E116),Tactics!$B$2:$B$8,0)),_xlfn.TEXTJOIN(", ",TRUE,INDEX(Tactics!$A$2:$A$8,MATCH(TRIM(LEFT(E116,FIND(",",E116)-1)),Tactics!$B$2:$B$8,0)),INDEX(Tactics!$A$2:$A$8,MATCH(TRIM(MID(E116,FIND(",",E116)+1,LEN(E116))),Tactics!$B$2:$B$8,0))))</f>
        <v>TA0001</v>
      </c>
      <c r="E116" s="12" t="s">
        <v>36</v>
      </c>
    </row>
    <row r="117" spans="1:5" ht="87">
      <c r="A117" s="12" t="s">
        <v>362</v>
      </c>
      <c r="B117" s="12" t="s">
        <v>363</v>
      </c>
      <c r="C117" s="12" t="s">
        <v>364</v>
      </c>
      <c r="D117" s="12" t="str">
        <f>IF(ISERROR(FIND(",",E117)),INDEX(Tactics!$A$2:$A$8,MATCH(TRIM(E117),Tactics!$B$2:$B$8,0)),_xlfn.TEXTJOIN(", ",TRUE,INDEX(Tactics!$A$2:$A$8,MATCH(TRIM(LEFT(E117,FIND(",",E117)-1)),Tactics!$B$2:$B$8,0)),INDEX(Tactics!$A$2:$A$8,MATCH(TRIM(MID(E117,FIND(",",E117)+1,LEN(E117))),Tactics!$B$2:$B$8,0))))</f>
        <v>TA0001</v>
      </c>
      <c r="E117" s="12" t="s">
        <v>36</v>
      </c>
    </row>
    <row r="118" spans="1:5" ht="167.25">
      <c r="A118" s="12" t="s">
        <v>365</v>
      </c>
      <c r="B118" s="12" t="s">
        <v>366</v>
      </c>
      <c r="C118" s="12" t="s">
        <v>367</v>
      </c>
      <c r="D118" s="12" t="str">
        <f>IF(ISERROR(FIND(",",E118)),INDEX(Tactics!$A$2:$A$8,MATCH(TRIM(E118),Tactics!$B$2:$B$8,0)),_xlfn.TEXTJOIN(", ",TRUE,INDEX(Tactics!$A$2:$A$8,MATCH(TRIM(LEFT(E118,FIND(",",E118)-1)),Tactics!$B$2:$B$8,0)),INDEX(Tactics!$A$2:$A$8,MATCH(TRIM(MID(E118,FIND(",",E118)+1,LEN(E118))),Tactics!$B$2:$B$8,0))))</f>
        <v>TA0005</v>
      </c>
      <c r="E118" s="12" t="s">
        <v>10</v>
      </c>
    </row>
    <row r="119" spans="1:5" ht="409.5">
      <c r="A119" s="12" t="s">
        <v>368</v>
      </c>
      <c r="B119" s="12" t="s">
        <v>369</v>
      </c>
      <c r="C119" s="12" t="s">
        <v>370</v>
      </c>
      <c r="D119" s="12" t="str">
        <f>IF(ISERROR(FIND(",",E119)),INDEX(Tactics!$A$2:$A$8,MATCH(TRIM(E119),Tactics!$B$2:$B$8,0)),_xlfn.TEXTJOIN(", ",TRUE,INDEX(Tactics!$A$2:$A$8,MATCH(TRIM(LEFT(E119,FIND(",",E119)-1)),Tactics!$B$2:$B$8,0)),INDEX(Tactics!$A$2:$A$8,MATCH(TRIM(MID(E119,FIND(",",E119)+1,LEN(E119))),Tactics!$B$2:$B$8,0))))</f>
        <v>TA0042</v>
      </c>
      <c r="E119" s="12" t="s">
        <v>91</v>
      </c>
    </row>
    <row r="120" spans="1:5" ht="87">
      <c r="A120" s="12" t="s">
        <v>371</v>
      </c>
      <c r="B120" s="12" t="s">
        <v>372</v>
      </c>
      <c r="C120" s="12" t="s">
        <v>373</v>
      </c>
      <c r="D120" s="12" t="str">
        <f>IF(ISERROR(FIND(",",E120)),INDEX(Tactics!$A$2:$A$8,MATCH(TRIM(E120),Tactics!$B$2:$B$8,0)),_xlfn.TEXTJOIN(", ",TRUE,INDEX(Tactics!$A$2:$A$8,MATCH(TRIM(LEFT(E120,FIND(",",E120)-1)),Tactics!$B$2:$B$8,0)),INDEX(Tactics!$A$2:$A$8,MATCH(TRIM(MID(E120,FIND(",",E120)+1,LEN(E120))),Tactics!$B$2:$B$8,0))))</f>
        <v>FA0002</v>
      </c>
      <c r="E120" s="12" t="s">
        <v>149</v>
      </c>
    </row>
    <row r="121" spans="1:5" ht="87">
      <c r="A121" s="12" t="s">
        <v>374</v>
      </c>
      <c r="B121" s="12" t="s">
        <v>375</v>
      </c>
      <c r="C121" s="12" t="s">
        <v>376</v>
      </c>
      <c r="D121" s="12" t="str">
        <f>IF(ISERROR(FIND(",",E121)),INDEX(Tactics!$A$2:$A$8,MATCH(TRIM(E121),Tactics!$B$2:$B$8,0)),_xlfn.TEXTJOIN(", ",TRUE,INDEX(Tactics!$A$2:$A$8,MATCH(TRIM(LEFT(E121,FIND(",",E121)-1)),Tactics!$B$2:$B$8,0)),INDEX(Tactics!$A$2:$A$8,MATCH(TRIM(MID(E121,FIND(",",E121)+1,LEN(E121))),Tactics!$B$2:$B$8,0))))</f>
        <v>FA0002</v>
      </c>
      <c r="E121" s="12" t="s">
        <v>149</v>
      </c>
    </row>
    <row r="122" spans="1:5" ht="57.95">
      <c r="A122" s="12" t="s">
        <v>377</v>
      </c>
      <c r="B122" s="12" t="s">
        <v>378</v>
      </c>
      <c r="C122" s="12" t="s">
        <v>379</v>
      </c>
      <c r="D122" s="12" t="str">
        <f>IF(ISERROR(FIND(",",E122)),INDEX(Tactics!$A$2:$A$8,MATCH(TRIM(E122),Tactics!$B$2:$B$8,0)),_xlfn.TEXTJOIN(", ",TRUE,INDEX(Tactics!$A$2:$A$8,MATCH(TRIM(LEFT(E122,FIND(",",E122)-1)),Tactics!$B$2:$B$8,0)),INDEX(Tactics!$A$2:$A$8,MATCH(TRIM(MID(E122,FIND(",",E122)+1,LEN(E122))),Tactics!$B$2:$B$8,0))))</f>
        <v>FA0002</v>
      </c>
      <c r="E122" s="12" t="s">
        <v>149</v>
      </c>
    </row>
    <row r="123" spans="1:5" ht="101.45">
      <c r="A123" s="12" t="s">
        <v>380</v>
      </c>
      <c r="B123" s="12" t="s">
        <v>381</v>
      </c>
      <c r="C123" s="12" t="s">
        <v>382</v>
      </c>
      <c r="D123" s="12" t="str">
        <f>IF(ISERROR(FIND(",",E123)),INDEX(Tactics!$A$2:$A$8,MATCH(TRIM(E123),Tactics!$B$2:$B$8,0)),_xlfn.TEXTJOIN(", ",TRUE,INDEX(Tactics!$A$2:$A$8,MATCH(TRIM(LEFT(E123,FIND(",",E123)-1)),Tactics!$B$2:$B$8,0)),INDEX(Tactics!$A$2:$A$8,MATCH(TRIM(MID(E123,FIND(",",E123)+1,LEN(E123))),Tactics!$B$2:$B$8,0))))</f>
        <v>TA0005</v>
      </c>
      <c r="E123" s="12" t="s">
        <v>10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19300B-B752-4644-9E72-E24B1153845E}">
  <dimension ref="A1:D8"/>
  <sheetViews>
    <sheetView zoomScaleNormal="100" workbookViewId="0">
      <selection activeCell="F2" sqref="F2"/>
    </sheetView>
  </sheetViews>
  <sheetFormatPr defaultColWidth="8.85546875" defaultRowHeight="14.45"/>
  <cols>
    <col min="2" max="2" width="27.42578125" customWidth="1"/>
    <col min="3" max="3" width="78.42578125" style="3" customWidth="1"/>
  </cols>
  <sheetData>
    <row r="1" spans="1:4">
      <c r="A1" s="5" t="s">
        <v>3</v>
      </c>
      <c r="B1" s="5" t="s">
        <v>4</v>
      </c>
      <c r="C1" s="5" t="s">
        <v>383</v>
      </c>
    </row>
    <row r="2" spans="1:4" ht="130.5">
      <c r="A2" s="6" t="s">
        <v>384</v>
      </c>
      <c r="B2" s="6" t="s">
        <v>228</v>
      </c>
      <c r="C2" s="7" t="s">
        <v>385</v>
      </c>
    </row>
    <row r="3" spans="1:4" ht="130.5">
      <c r="A3" s="8" t="s">
        <v>386</v>
      </c>
      <c r="B3" s="8" t="s">
        <v>91</v>
      </c>
      <c r="C3" s="9" t="s">
        <v>387</v>
      </c>
    </row>
    <row r="4" spans="1:4" ht="101.45">
      <c r="A4" s="6" t="s">
        <v>388</v>
      </c>
      <c r="B4" s="6" t="s">
        <v>36</v>
      </c>
      <c r="C4" s="7" t="s">
        <v>389</v>
      </c>
      <c r="D4" s="3"/>
    </row>
    <row r="5" spans="1:4" ht="101.45">
      <c r="A5" s="8" t="s">
        <v>390</v>
      </c>
      <c r="B5" s="8" t="s">
        <v>10</v>
      </c>
      <c r="C5" s="9" t="s">
        <v>391</v>
      </c>
    </row>
    <row r="6" spans="1:4" ht="116.1">
      <c r="A6" s="10" t="s">
        <v>392</v>
      </c>
      <c r="B6" s="10" t="s">
        <v>14</v>
      </c>
      <c r="C6" s="11" t="s">
        <v>393</v>
      </c>
    </row>
    <row r="7" spans="1:4" ht="159.6">
      <c r="A7" s="8" t="s">
        <v>394</v>
      </c>
      <c r="B7" s="8" t="s">
        <v>28</v>
      </c>
      <c r="C7" s="9" t="s">
        <v>395</v>
      </c>
    </row>
    <row r="8" spans="1:4" ht="130.5">
      <c r="A8" s="10" t="s">
        <v>396</v>
      </c>
      <c r="B8" s="10" t="s">
        <v>149</v>
      </c>
      <c r="C8" s="11" t="s">
        <v>397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E0BF4745D79E3488AF7D0F058B3E346" ma:contentTypeVersion="13" ma:contentTypeDescription="Create a new document." ma:contentTypeScope="" ma:versionID="271202878b52f40ac2d5611d3876a994">
  <xsd:schema xmlns:xsd="http://www.w3.org/2001/XMLSchema" xmlns:xs="http://www.w3.org/2001/XMLSchema" xmlns:p="http://schemas.microsoft.com/office/2006/metadata/properties" xmlns:ns2="4924a7a6-226d-4709-822c-ddd693735afe" xmlns:ns3="b5a44311-ed64-4a72-909f-c9dc6973bde2" targetNamespace="http://schemas.microsoft.com/office/2006/metadata/properties" ma:root="true" ma:fieldsID="26192178a4683bcb615b8329fbe49fea" ns2:_="" ns3:_="">
    <xsd:import namespace="4924a7a6-226d-4709-822c-ddd693735afe"/>
    <xsd:import namespace="b5a44311-ed64-4a72-909f-c9dc6973bde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924a7a6-226d-4709-822c-ddd693735af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4ea1a638-fe8f-4e55-a8a3-ec1a1fdf419b" ma:termSetId="09814cd3-568e-fe90-9814-8d621ff8fb84" ma:anchorId="fba54fb3-c3e1-fe81-a776-ca4b69148c4d" ma:open="true" ma:isKeyword="false">
      <xsd:complexType>
        <xsd:sequence>
          <xsd:element ref="pc:Terms" minOccurs="0" maxOccurs="1"/>
        </xsd:sequence>
      </xsd:complexType>
    </xsd:element>
    <xsd:element name="MediaServiceLocation" ma:index="19" nillable="true" ma:displayName="Location" ma:indexed="true" ma:internalName="MediaServiceLocatio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5a44311-ed64-4a72-909f-c9dc6973bde2"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f31d157b-ec33-4b44-8666-3ed705a038ae}" ma:internalName="TaxCatchAll" ma:showField="CatchAllData" ma:web="cb9d36c4-cc35-471a-9c28-dbbc77f66f0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924a7a6-226d-4709-822c-ddd693735afe">
      <Terms xmlns="http://schemas.microsoft.com/office/infopath/2007/PartnerControls"/>
    </lcf76f155ced4ddcb4097134ff3c332f>
    <TaxCatchAll xmlns="b5a44311-ed64-4a72-909f-c9dc6973bde2" xsi:nil="true"/>
  </documentManagement>
</p:properties>
</file>

<file path=customXml/itemProps1.xml><?xml version="1.0" encoding="utf-8"?>
<ds:datastoreItem xmlns:ds="http://schemas.openxmlformats.org/officeDocument/2006/customXml" ds:itemID="{5B507651-5BE5-4ABC-ABE6-D1B49CE5227B}"/>
</file>

<file path=customXml/itemProps2.xml><?xml version="1.0" encoding="utf-8"?>
<ds:datastoreItem xmlns:ds="http://schemas.openxmlformats.org/officeDocument/2006/customXml" ds:itemID="{D5E9A6EB-E1F5-40DF-8E3D-2573C78749C9}"/>
</file>

<file path=customXml/itemProps3.xml><?xml version="1.0" encoding="utf-8"?>
<ds:datastoreItem xmlns:ds="http://schemas.openxmlformats.org/officeDocument/2006/customXml" ds:itemID="{DC7F9EF2-C1BC-4CE0-ADE4-7BA4FE8FF5F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2026-02-26T15:07:32Z</dcterms:created>
  <dcterms:modified xsi:type="dcterms:W3CDTF">2026-03-27T16:19:19Z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0x010100BE0BF4745D79E3488AF7D0F058B3E346</vt:lpwstr>
  </property>
  <property fmtid="{D5CDD505-2E9C-101B-9397-08002B2CF9AE}" pid="3" name="MediaServiceImageTags">
    <vt:lpwstr/>
  </property>
</Properties>
</file>