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5-06 - Fight Financial Fraud/Working Folder/"/>
    </mc:Choice>
  </mc:AlternateContent>
  <xr:revisionPtr revIDLastSave="664" documentId="8_{30597B9D-288E-3046-9855-201D30DB2587}" xr6:coauthVersionLast="47" xr6:coauthVersionMax="47" xr10:uidLastSave="{FE9052C5-D86A-D349-8455-2135A7A4AAD3}"/>
  <bookViews>
    <workbookView xWindow="21580" yWindow="4620" windowWidth="19540" windowHeight="20980" xr2:uid="{00000000-000D-0000-FFFF-FFFF00000000}"/>
  </bookViews>
  <sheets>
    <sheet name="Techniques" sheetId="1"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1" l="1" a="1"/>
  <c r="D122" i="1" s="1"/>
  <c r="D121" i="1" a="1"/>
  <c r="D121" i="1" s="1"/>
  <c r="D120" i="1" a="1"/>
  <c r="D120" i="1" s="1"/>
  <c r="D119" i="1" a="1"/>
  <c r="D119" i="1" s="1"/>
  <c r="D118" i="1" a="1"/>
  <c r="D118" i="1" s="1"/>
  <c r="D81" i="1" a="1"/>
  <c r="D81" i="1" s="1"/>
  <c r="D80" i="1" a="1"/>
  <c r="D80" i="1" s="1"/>
  <c r="D79" i="1" a="1"/>
  <c r="D79" i="1" s="1"/>
  <c r="D97" i="1" a="1"/>
  <c r="D97" i="1" s="1"/>
  <c r="D12" i="1" a="1"/>
  <c r="D12"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0" i="1" a="1"/>
  <c r="D10" i="1" s="1"/>
  <c r="D11" i="1" a="1"/>
  <c r="D11" i="1" s="1"/>
  <c r="D9" i="1" a="1"/>
  <c r="D9" i="1" s="1"/>
  <c r="D8" i="1" a="1"/>
  <c r="D8" i="1" s="1"/>
  <c r="D7" i="1" a="1"/>
  <c r="D7" i="1" s="1"/>
  <c r="D3" i="1" a="1"/>
  <c r="D3" i="1" s="1"/>
  <c r="D2" i="1" a="1"/>
  <c r="D2" i="1" s="1"/>
  <c r="D6" i="1" a="1"/>
  <c r="D6" i="1" s="1"/>
  <c r="D5" i="1" a="1"/>
  <c r="D5" i="1" s="1"/>
  <c r="D4" i="1" a="1"/>
  <c r="D4"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<sst xmlns="http://schemas.openxmlformats.org/spreadsheetml/2006/main" count="515" uniqueCount="398">
  <si>
    <t>Technique ID</t>
  </si>
  <si>
    <t>Technique</t>
  </si>
  <si>
    <t>Description</t>
  </si>
  <si>
    <t>Tactic ID</t>
  </si>
  <si>
    <t>Tactic Name</t>
  </si>
  <si>
    <t>Tactic Description</t>
  </si>
  <si>
    <t>F1076</t>
  </si>
  <si>
    <t>3DS Bypass</t>
  </si>
  <si>
    <t>TA0005</t>
  </si>
  <si>
    <t>Defense Evasion</t>
  </si>
  <si>
    <t>T1453</t>
  </si>
  <si>
    <t>Abuse Accessibility Features</t>
  </si>
  <si>
    <t>TA0001</t>
  </si>
  <si>
    <t>Positioning</t>
  </si>
  <si>
    <t>F1001</t>
  </si>
  <si>
    <t>Abuse of Public-Facing API</t>
  </si>
  <si>
    <t>F1001.001</t>
  </si>
  <si>
    <t>Abuse of Public-Facing API: Mobile API Abuse</t>
  </si>
  <si>
    <t>F1001.002</t>
  </si>
  <si>
    <t>Abuse of Public-Facing API: Web API Abuse</t>
  </si>
  <si>
    <t>F1004</t>
  </si>
  <si>
    <t>Abuse SMS verification</t>
  </si>
  <si>
    <t>TA0002</t>
  </si>
  <si>
    <t>Execution</t>
  </si>
  <si>
    <t>Initial Access, Positioning</t>
  </si>
  <si>
    <t>F1006</t>
  </si>
  <si>
    <t>Access with Stolen Session Cookie</t>
  </si>
  <si>
    <t>Initial Access</t>
  </si>
  <si>
    <t>T1531</t>
  </si>
  <si>
    <t>Account Access Removal</t>
  </si>
  <si>
    <t>FA0001</t>
  </si>
  <si>
    <t>F1008</t>
  </si>
  <si>
    <t>Account Manipulation</t>
  </si>
  <si>
    <t>F1008.004</t>
  </si>
  <si>
    <t>Account Manipulation: Add Authorized User</t>
  </si>
  <si>
    <t>F1008.006</t>
  </si>
  <si>
    <t>Account Manipulation: Add Beneficiary</t>
  </si>
  <si>
    <t>F1008.005</t>
  </si>
  <si>
    <t>F1008.002</t>
  </si>
  <si>
    <t>F1008.003</t>
  </si>
  <si>
    <t>Account Manipulation: Change Account Details</t>
  </si>
  <si>
    <t>F1008.001</t>
  </si>
  <si>
    <t>F1008.008</t>
  </si>
  <si>
    <t>Account Manipulation: Change of Payment Details</t>
  </si>
  <si>
    <t>F1008.007</t>
  </si>
  <si>
    <t>Account Manipulation: Enable Account Features</t>
  </si>
  <si>
    <t>F1018</t>
  </si>
  <si>
    <t>Account Takeover</t>
  </si>
  <si>
    <t>Account Takeover: Exposed API Key</t>
  </si>
  <si>
    <t>Account Takeover: Exposed Login Credential</t>
  </si>
  <si>
    <t>F1018.001</t>
  </si>
  <si>
    <t>Account Takeover: Password Reset</t>
  </si>
  <si>
    <t>T1650</t>
  </si>
  <si>
    <t>Acquire Access</t>
  </si>
  <si>
    <t>T1583</t>
  </si>
  <si>
    <t>Acquire Infrastructure</t>
  </si>
  <si>
    <t>TA0042</t>
  </si>
  <si>
    <t>Resource Development</t>
  </si>
  <si>
    <t>T1583.001</t>
  </si>
  <si>
    <t>Acquire Infrastructure: Domains</t>
  </si>
  <si>
    <t>T1583.008</t>
  </si>
  <si>
    <t>Acquire Infrastructure: Malvertising</t>
  </si>
  <si>
    <t>T1583.003</t>
  </si>
  <si>
    <t>Acquire Infrastructure: Virtual Private Network or Server</t>
  </si>
  <si>
    <t>F1023</t>
  </si>
  <si>
    <t>Adversary-in-the-Browser</t>
  </si>
  <si>
    <t>F1023.001</t>
  </si>
  <si>
    <t>Adversary-in-the-Browser: DLL Injection</t>
  </si>
  <si>
    <t>F1023.002</t>
  </si>
  <si>
    <t>Adversary-in-the-Browser: Malicious Browser Extension</t>
  </si>
  <si>
    <t>F1023.003</t>
  </si>
  <si>
    <t>Adversary-in-the-Browser: Malicious JavaScript Injection</t>
  </si>
  <si>
    <t>Adversary-in-the-Middle</t>
  </si>
  <si>
    <t>T1557</t>
  </si>
  <si>
    <t>F1030</t>
  </si>
  <si>
    <t>ATM Manipulation</t>
  </si>
  <si>
    <t>F1030.002</t>
  </si>
  <si>
    <t>ATM Manipulation: ATM Hardware Manipulation</t>
  </si>
  <si>
    <t>F1030.001</t>
  </si>
  <si>
    <t>ATM Manipulation: ATM Software Manipulation</t>
  </si>
  <si>
    <t>F1033</t>
  </si>
  <si>
    <t>Bank Deposit</t>
  </si>
  <si>
    <t>F1033.001</t>
  </si>
  <si>
    <t>Bank Deposit: ATM Deposit</t>
  </si>
  <si>
    <t>F1033.002</t>
  </si>
  <si>
    <t>Bank Deposit: Mobile Deposit</t>
  </si>
  <si>
    <t>F1033.003</t>
  </si>
  <si>
    <t>Bank Deposit: Night Deposit</t>
  </si>
  <si>
    <t>F1033.004</t>
  </si>
  <si>
    <t>Bank Deposit: Test Deposit</t>
  </si>
  <si>
    <t>F1038</t>
  </si>
  <si>
    <t>F1039</t>
  </si>
  <si>
    <t>FA0002</t>
  </si>
  <si>
    <t>Monetization</t>
  </si>
  <si>
    <t>T1185</t>
  </si>
  <si>
    <t>Browser Session Hijacking</t>
  </si>
  <si>
    <t>T1110</t>
  </si>
  <si>
    <t>Brute Force</t>
  </si>
  <si>
    <t>T1110.004</t>
  </si>
  <si>
    <t>Brute Force:  Credential Stuffing</t>
  </si>
  <si>
    <t>T1110.002</t>
  </si>
  <si>
    <t>Brute Force: Password Cracking</t>
  </si>
  <si>
    <t>T1110.001</t>
  </si>
  <si>
    <t>Brute Force: Password Guessing</t>
  </si>
  <si>
    <t>T1110.003</t>
  </si>
  <si>
    <t>Brute Force: Password Spraying</t>
  </si>
  <si>
    <t>F1041</t>
  </si>
  <si>
    <t>Buy Money Order</t>
  </si>
  <si>
    <t>F1042</t>
  </si>
  <si>
    <t>Card Dump Capture</t>
  </si>
  <si>
    <t>F1043</t>
  </si>
  <si>
    <t>Card Testing</t>
  </si>
  <si>
    <t>F1047</t>
  </si>
  <si>
    <t>F1093</t>
  </si>
  <si>
    <t>Change Payroll Details</t>
  </si>
  <si>
    <t>F1049</t>
  </si>
  <si>
    <t>F1050</t>
  </si>
  <si>
    <t>Check Fraud</t>
  </si>
  <si>
    <t>F1051</t>
  </si>
  <si>
    <t>Churning</t>
  </si>
  <si>
    <t>T1586</t>
  </si>
  <si>
    <t>Compromise Accounts</t>
  </si>
  <si>
    <t>T1586.003</t>
  </si>
  <si>
    <t>Compromise Accounts: Cloud Accounts</t>
  </si>
  <si>
    <t>T1586.004</t>
  </si>
  <si>
    <t>Compromise Accounts: Corporate Accounts</t>
  </si>
  <si>
    <t>T1586.002</t>
  </si>
  <si>
    <t>Compromise Accounts: Email Accounts</t>
  </si>
  <si>
    <t>T1586.001</t>
  </si>
  <si>
    <t>Compromise Accounts: Social Media Accounts</t>
  </si>
  <si>
    <t>F1057</t>
  </si>
  <si>
    <t>Compromise Payment Gateway</t>
  </si>
  <si>
    <t>F1059</t>
  </si>
  <si>
    <t>Create Counterfeit Card</t>
  </si>
  <si>
    <t>F1060</t>
  </si>
  <si>
    <t>Create Fake Materials</t>
  </si>
  <si>
    <t>Create Fake Materials: Fake Documents</t>
  </si>
  <si>
    <t>F1044</t>
  </si>
  <si>
    <t>T1555</t>
  </si>
  <si>
    <t>Credentials from Password Stores</t>
  </si>
  <si>
    <t>T1555.003</t>
  </si>
  <si>
    <t>Credentials from Password Stores: Credentials from Web Browsers</t>
  </si>
  <si>
    <t>T1555.005</t>
  </si>
  <si>
    <t>Credentials from Password Stores: Password Managers</t>
  </si>
  <si>
    <t>F1063</t>
  </si>
  <si>
    <t>Delete Relevant Emails</t>
  </si>
  <si>
    <t>F1064</t>
  </si>
  <si>
    <t>Device Fingerprint Spoofing</t>
  </si>
  <si>
    <t>T1189</t>
  </si>
  <si>
    <t>Drive-by Compromise</t>
  </si>
  <si>
    <t>F1044.002</t>
  </si>
  <si>
    <t>T1667</t>
  </si>
  <si>
    <t>Email Bombing</t>
  </si>
  <si>
    <t>T1672</t>
  </si>
  <si>
    <t>Email Spoofing</t>
  </si>
  <si>
    <t>T1585</t>
  </si>
  <si>
    <t>Establish Accounts</t>
  </si>
  <si>
    <t>F1066</t>
  </si>
  <si>
    <t>Falsify Business Documents</t>
  </si>
  <si>
    <t>F1048</t>
  </si>
  <si>
    <t>Fradulent Purchasing</t>
  </si>
  <si>
    <t>F1067</t>
  </si>
  <si>
    <t>TA0043</t>
  </si>
  <si>
    <t>Reconnaissance</t>
  </si>
  <si>
    <t>F1068</t>
  </si>
  <si>
    <t>Geolocation Spoofing</t>
  </si>
  <si>
    <t>F1069</t>
  </si>
  <si>
    <t>F1070</t>
  </si>
  <si>
    <t>Impersonate Account Holder</t>
  </si>
  <si>
    <t>F1071</t>
  </si>
  <si>
    <t>Impersonate Official</t>
  </si>
  <si>
    <t>T1070</t>
  </si>
  <si>
    <t>Indicator Removal</t>
  </si>
  <si>
    <t>F1072</t>
  </si>
  <si>
    <t>Insider Access Abuse</t>
  </si>
  <si>
    <t>F1073</t>
  </si>
  <si>
    <t>F1074</t>
  </si>
  <si>
    <t>Mail Theft</t>
  </si>
  <si>
    <t>T1111</t>
  </si>
  <si>
    <t>Multi-Factor Authentication Interception</t>
  </si>
  <si>
    <t>T1621</t>
  </si>
  <si>
    <t>Multi-Factor Authentication Request Generation</t>
  </si>
  <si>
    <t>F1089</t>
  </si>
  <si>
    <t>New Vendor Setup</t>
  </si>
  <si>
    <t>F1090</t>
  </si>
  <si>
    <t>NFC Payment</t>
  </si>
  <si>
    <t>F1077</t>
  </si>
  <si>
    <t>Official Phone Number Spoofing</t>
  </si>
  <si>
    <t>F1091</t>
  </si>
  <si>
    <t>PAN/CVV Generation</t>
  </si>
  <si>
    <t>F1092</t>
  </si>
  <si>
    <t>F1044.001</t>
  </si>
  <si>
    <t>F1082</t>
  </si>
  <si>
    <t>PIN-code Peeking</t>
  </si>
  <si>
    <t>F1085</t>
  </si>
  <si>
    <t>Reactivate Account</t>
  </si>
  <si>
    <t>T1219</t>
  </si>
  <si>
    <t>Remote Access Tools</t>
  </si>
  <si>
    <t>F1094</t>
  </si>
  <si>
    <t>Reversal of Transaction</t>
  </si>
  <si>
    <t>F1095</t>
  </si>
  <si>
    <t>Scheduled Transfer</t>
  </si>
  <si>
    <t>T1113</t>
  </si>
  <si>
    <t>Screen 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</si>
  <si>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</si>
  <si>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</si>
  <si>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</si>
  <si>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T1608</t>
  </si>
  <si>
    <t>Stage Capabilities</t>
  </si>
  <si>
    <t>Stage Capabilities: SEO Poisoning</t>
  </si>
  <si>
    <t>T1539</t>
  </si>
  <si>
    <t>Steal Web Session Cookie</t>
  </si>
  <si>
    <t>F1087</t>
  </si>
  <si>
    <t>Structuring</t>
  </si>
  <si>
    <t>T1195</t>
  </si>
  <si>
    <t>Supply Chain Compromise</t>
  </si>
  <si>
    <t>F1096</t>
  </si>
  <si>
    <t>Use Alternate Authentication Material</t>
  </si>
  <si>
    <t>T1555.002</t>
  </si>
  <si>
    <t>Use Alternate Authentication Material: Application Access Token</t>
  </si>
  <si>
    <t>F1097</t>
  </si>
  <si>
    <t>Reviewer</t>
  </si>
  <si>
    <t>Comments</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</si>
  <si>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</si>
  <si>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</si>
  <si>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</si>
  <si>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</si>
  <si>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</si>
  <si>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</si>
  <si>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</si>
  <si>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T1598</t>
  </si>
  <si>
    <t>Phishing for Information</t>
  </si>
  <si>
    <t>T1608.006</t>
  </si>
  <si>
    <t>Initial Access, Defense Evasion</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</si>
  <si>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</si>
  <si>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</si>
  <si>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Defense Evasion.</t>
  </si>
  <si>
    <t>The fraud actor's actions to avoid being detected.
Defense Evasion consists of techniques that fraud actors use to avoid detection throughout their compromise. Techniques used for defense evasion include phone number spoofing or social engineering. Fraud actors also leverage and abuse trusted processes to hide and masquerade their activities. Other tactics’ techniques are cross-listed here when those techniques include the added benefit of subverting defenses.</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</si>
  <si>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</si>
  <si>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</si>
  <si>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</si>
  <si>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</si>
  <si>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</si>
  <si>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</si>
  <si>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</si>
  <si>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</si>
  <si>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</si>
  <si>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</si>
  <si>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</si>
  <si>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</si>
  <si>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</si>
  <si>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</si>
  <si>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</si>
  <si>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</si>
  <si>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</si>
  <si>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 xml:space="preserve">Fraud actors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</si>
  <si>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</si>
  <si>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</si>
  <si>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</si>
  <si>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</si>
  <si>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</si>
  <si>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Fraud actors manipulate caller ID information to display a legitimate phone number when communicating with victims, impersonating customer service hotlines, law enforcement, government agencies, financial institutions, or other trusted entities. This technique can lead to various types of illicit activities, such as phishing, where victims are tricked into entering sensitive information or performing unauthorized activities under the guise of official messages.</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</si>
  <si>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</si>
  <si>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</si>
  <si>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</si>
  <si>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</si>
  <si>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</si>
  <si>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</si>
  <si>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</si>
  <si>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Fraud actors may flood targeted email addresses with an overwhelming volume of messages. This may bury legitimate emails in a flood of spam and disrupt business operations.[1][2]
A fraud actor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fraud actors may successfully divert attention away from and bury legitimate messages including security alerts, daily business processes like help desk tickets and client correspondence, or ongoing scams.[3] This behavior can also be used as a tool of harassment.[2]</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</si>
  <si>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</si>
  <si>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</si>
  <si>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</si>
  <si>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</si>
  <si>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</si>
  <si>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</si>
  <si>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</si>
  <si>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</si>
  <si>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</si>
  <si>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</si>
  <si>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</si>
  <si>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</si>
  <si>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</si>
  <si>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</si>
  <si>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</si>
  <si>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</si>
  <si>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</si>
  <si>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</si>
  <si>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</si>
  <si>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</si>
  <si>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</si>
  <si>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</si>
  <si>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</si>
  <si>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</si>
  <si>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</si>
  <si>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</si>
  <si>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</si>
  <si>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</si>
  <si>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</si>
  <si>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</si>
  <si>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</si>
  <si>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</si>
  <si>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</si>
  <si>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</si>
  <si>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</si>
  <si>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</si>
  <si>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</si>
  <si>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</si>
  <si>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</si>
  <si>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</si>
  <si>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</si>
  <si>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</si>
  <si>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PaReq Manipulation</t>
  </si>
  <si>
    <t>Use Virtual Cards</t>
  </si>
  <si>
    <t>F1060.001</t>
  </si>
  <si>
    <t>F1060.002</t>
  </si>
  <si>
    <t>F1018.002</t>
  </si>
  <si>
    <t>F1018.003</t>
  </si>
  <si>
    <t>Create Fake Materials: Fake Website</t>
  </si>
  <si>
    <t>Fraud actors may create fraudulent e-commerce websites that mimic legitimate retailers to capture payment information or steal credentials. This may include replicating the design, layout, and functionality of trusted sites while hosting them on attacker-controlled infrastructure, often using lookalike domains (e.g., typosquatting) to appear legitimate. Fraud actors may advertise products with no intention of delivery to harvest payment card information during checkout.
Fraud actors may promote these sites through phishing campaigns, malicious advertisements, search engine optimization, or social media to drive victim traffic. Fraud actors use these sites to collect credentials, payment details, or personal data, redirect transactions, or facilitate additional fraudulent activity.</t>
  </si>
  <si>
    <t>Positioning, Defense Evasion</t>
  </si>
  <si>
    <t>Initial Access, Execution, Positioning</t>
  </si>
  <si>
    <t>Account Manipulation: Account Linking</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</si>
  <si>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or keylogging malware.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</si>
  <si>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Initial Access, Positioning, Execution</t>
  </si>
  <si>
    <t>Execution, Positioning</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</si>
  <si>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insurance policies, invoices, business licenses, which may be either fully counterfeit or subtly modified to evade detection.</t>
  </si>
  <si>
    <t>Execution, Monetization</t>
  </si>
  <si>
    <t xml:space="preserve">Fraud actors may abuse SMS verification and one-time-password (OTP) services to generate excessive messaging costs or facilitate toll‑fraud schemes, rather than to authenticate real users. In a common pattern, attackers script large numbers of account sign‑ups or login attempts that all trigger SMS verifications to premium‑rate or otherwise high‑tariff phone numbers they control, allowing them to collect a share of the inflated termination fees while the victim organization pays the messaging bill. 
Adversaries may also manipulate SMS routing by steering verification traffic through specific high‑cost international carriers or number ranges, disguising these as normal mobile destinations so that automated routing systems deliver the messages without suspicion. By driving sustained volumes of verification traffic into these expensive routes, attackers can rapidly increase the victim’s telecom spend and monetize the difference between actual delivery cost and what the organization expects to pay for legitimate verification usage. 
This technique focuses on cost and routing abuse of SMS verification itself, and is distinct from Multi-Factor Authenticaion Request Generation, which covers triggering MFA prompts or notifications to overwhelm or pressure vicitims into approving authenticaion attempts. </t>
  </si>
  <si>
    <t>Account Manipulation: Change E-Delivery or Notification Settings</t>
  </si>
  <si>
    <t>Positioning, Reconnaissance</t>
  </si>
  <si>
    <t xml:space="preserve">Adversaries may compromise social media accounts that can be used during targeting. For operations incorporating social engineering, the utilization of an online persona may be important. Rather than creating and cultivating social media profiles (i.e. Social Media Accounts), adversaries may compromise existing social media accounts. Utilizing an existing persona may engender a level of trust in a potential victim if they have a relationship, or knowledge of, the compromised persona.
A variety of methods exist for compromising social media accounts, such as gathering credentials via Phishing for Information, purchasing credentials from third-party sites, or by brute forcing credentials (ex: password reuse from breach credential dumps). Prior to compromising social media accounts, adversaries may conduct Reconnaissance to inform decisions about which accounts to compromise to further their operation.
Personas may exist on a single site or across multiple sites (ex: Facebook, LinkedIn, Twitter, etc.). Compromised social media accounts may require additional development, this could include filling out or modifying profile information, further developing social networks, or incorporating photos.
Adversaries can use a compromised social media profile to create new, or hijack existing, connections to targets of interest. These connections may be direct or may include trying to connect through others. Compromised profiles may be leveraged during other phases of the adversary lifecycle, such as during Initial Access (ex: Spearphishing via Service).
</t>
  </si>
  <si>
    <t>Fraud actors may compromise corporate accounts that can be used during targeting and follow-on fraud operations. Compromised corporate accounts provide fraud actors with legitimate access to business systems, internal applications, and communication channels that can be leveraged to conduct business email compromise attacks, initiate unauthorized transactions, or modify business processes for financial gain.
A variety of methods exist for compromising corporate accounts, such as gathering credentials via Phishing for Information, purchasing credentials from third-party sites, brute forcing credentials (for example, password reuse from breach credential dumps), or paying employees, suppliers, or business partners for access to credentials. Prior to compromising corporate accounts, fraud actors may conduct Reconnaissance to identify high-value employees, roles, or business units whose access can provide entry to sensitive data, financial systems, or approval workflows.
Once compromised, corporate accounts may be used to access internal systems, customer records, financial information, or other protected corporate resources, as well as to authorize fraudulent payments or make unauthorized changes to vendor, payroll, or billing details. Fraud actors may also further develop the compromised corporate identity, such as by maintaining normal email behavior or updating profiles, to preserve trust with partners and customers while they execute and expand their fraud schemes.</t>
  </si>
  <si>
    <t>Positioning, Initial Access</t>
  </si>
  <si>
    <t>Fraud actors may structure transactions or account activity by breaking up large movements of funds, spreading activity across multiple accounts, or using different locations and channels to avoid triggering fraud controls and regulatory reporting thresholds. By parcelling deposits, withdrawals, or transfers into smaller amounts that fall below Currency Transaction Report (CTR) or Suspicious Activity Report (SAR) triggers, or by distributing activity over time and across institutions, they aim to keep illicit flows appearing routine and prevent automated systems or investigators from detecting the underlying money laundering or fraud.</t>
  </si>
  <si>
    <t>Fraud actors may modify account settings to facilitate fraud operations or maintain persistent access. This may include altering payment methods, changing contact information, modifying notification preferences, adjusting security settings, linking accounts, or adding users. . Fraud actors typically gain initial access through stolen credentials or system vulnerabilities, then make unauthorized changes to account configurations to support subsequent fraud activities or prevent detection.</t>
  </si>
  <si>
    <t>Fraud actors may change account details such as PIN numbers, security questions, transaction limits, addresses, phone numbers, email address,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</si>
  <si>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Transfer of funds</t>
  </si>
  <si>
    <t>Exploitation of Gambling Platforms</t>
  </si>
  <si>
    <t>Fraud actors may exploit gambling platforms as a channel to convert illicit value into seemingly legitimate funds and to move or disguise the proceeds of fraud. They may create or use accounts, often opened with stolen or fabricated identities, to deposit illicit funds, place low‑risk or offsetting bets, and then withdraw balances as “winnings” to other accounts under their control. They may also exploit bonus structures, loyalty rewards, or promotional credits to generate additional value, or conduct arbitrage across multiple platforms to turn promotional or gaming flows into profit. 
By routing funds through gambling platforms and generating complex patterns of bets, transfers, and payouts, actors aim to obscure the source of the money and make subsequent withdrawals appear consistent with normal gambling activity, supporting monetization and money‑laundering objectives rather than the initial execution of fraud.</t>
  </si>
  <si>
    <t xml:space="preserve">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t>
  </si>
  <si>
    <t xml:space="preserve">Fraud actors may pretend to be a new vendor or supplier to trick organizations into directing payments to fraudulent accounts. New vendor setup can be initiated through fake invoices, requests for adding a new payee, banking information change forms, or urgent payment requests that pressure staff to bypass normal verification steps. Once the bogus vendor profile is established in accounts payable or procurement systems, fraud actors can submit additional invoices, alter payment details, or reroute legitimate payments intended for real vendors to accounts they control.
</t>
  </si>
  <si>
    <t>Defense Evasion, Reconnaissance, Initial Access</t>
  </si>
  <si>
    <t>T1660</t>
  </si>
  <si>
    <t>Phishing</t>
  </si>
  <si>
    <t>Fraud Actors may send malicious content to users in order to gain access to their mobile devices. All forms of phishing are electronically delivered social engineering. Adversaries can conduct both non-targeted phishing, such as in mass malware spam campaigns, as well as more targeted phishing tailored for a specific individual, company, or industry, known as "spearphishing." Phishing often involves social engineering techniques, such as posing as a trusted source, as well as evasion techniques, such as removing or manipulating emails or metadata/headers from compromised accounts being abused to send messages.
Mobile phishing may take various forms. For example, adversaries may send emails containing malicious attachments or links, typically to deliver and then execute malicious code on victim devices. Phishing may also be conducted via third-party services, like social media platforms. Adversaries may also impersonate executives of organizations to persuade victims into performing some action on their behalf. For example, adversaries will often use social engineering techniques in text messages to trick the victims into acting quickly, which leads to adversaries obtaining credentials and other information.
Mobile devices have sensors and radios that allow adversaries to execute phishing attempts over several different vectors, such as:
- SMS messages: Adversaries may send SMS messages (known as "smishing") from compromised devices to potential targets to convince the target to, for example, install malware, navigate to a specific website, or enable certain insecure configurations on their device.
- Quick Response (QR) Codes: Adversaries may use QR codes (known as "quishing") to redirect users to a phishing website. For example, an adversary could replace a legitimate public QR Code with one that leads to a different destination, such as a phishing website. A malicious QR code could also be delivered via other means, such as SMS or email. In the latter case, an adversary could utilize a malicious QR code in an email to pivot from the user’s desktop computer to their mobile device.
- Phone Calls: Adversaries may call victims (known as "vishing") to persuade them to perform an action, such as providing login credentials or navigating to a malicious website. This could also be used as a technique to perform the initial access on a mobile device, but then pivot to a computer/other network by having the victim perform an action on a desktop computer.</t>
  </si>
  <si>
    <t xml:space="preserve">Fraud actors may send phishing messages across multiple channels - email, SMS (smishing), QR codes (quishing), and voice calls (vishing) - to elicit sensitive information for targeting and follow‑on fraud. Phishing for information focuses on tricking targets into revealing credentials, one‑time passcodes, or other actionable data, and is distinct from Phishing, which primarily aims to get the user to execute malicious code or payloads.
These are all electronically delivered social‑engineering attacks. Email phishing and spearphishing may target specific people or organizations, while broad campaigns support mass credential harvesting. Smishing uses deceptive texts, quishing uses QR codes that lead to fraudulent sites, and vishing relies on calls or voicemail to socially engineer victims, sometimes by luring them to dial a controlled phone number.
Phishing for information typically uses convincing pretexts—such as posing as a bank, payment provider, help desk, or vendor—and often leverages urgency like account lockouts or security alerts. Attackers combine email spoofing, look‑alike domains, shortened links in SMS, and caller‑ID spoofing in vishing to appear legitimate, and may hide or manipulate messages, headers, sender IDs, or phone numbers to bypass security tools and reduce the chance of detection across email, SMS, QR, and voice channels.
</t>
  </si>
  <si>
    <t>Fraud actors target inactive bank accounts because they are less likely to be monitored closely by the account holder or financial institution. They may attempt to reactivate the bank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</si>
  <si>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 xml:space="preserve">Fraud actors use virtual cards to facilitate online fraud because they provide flexibility, anonymity, and rapid issuance for card‑not‑present transactions. Virtual cards are often obtained with weaker identity verification or sourced from compromised accounts, making them attractive instruments for testing stolen card data, funding mule accounts, or executing rapid series of purchases and refunds. Their disposability allows fraud actors to run multiple transactions, dispute or reverse charges, and then discard the card, reducing the risk that a single compromised instrument links together the broader scheme.
Virtual cards are frequently employed in promotion abuse, synthetic identity fraud, and account takeover scenarios, for example, to cash out loyalty points, rotate through trial or subscription offers, or route payments through intermediary wallets and marketplaces. They can also be used to create complex transaction chains across merchants and jurisdictions, complicating efforts to tie specific fraudulent purchases back to the originating compromised identity or account. This flexibility makes virtual cards a convenient tool for scaling and obscuring a wide range of digital fraud schemes, even when they are not explicitly part of a formal money‑laundering process.
</t>
  </si>
  <si>
    <t>Fraud actors may take advantage of security vulnerabilities and inherent functionality in browser software to change content, modify user-behaviors, and intercept information as part of various browser session hijacking techniques.
A specific example is when a fraud actor injects software into a browser that allows them to inherit cookies, HTTP sessions, and SSL client certificates of a user then use the browser as a way to pivot into an authenticated intranet.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t>
  </si>
  <si>
    <t>Account Manipulation: Update Call Receiving Device</t>
  </si>
  <si>
    <t>Fraud actors may gain unauthorized access and control of a customer’s bank or payment account on a financial platform or service. This typically involves compromising the account used to hold and move funds—such as online banking, card‑issuing, or digital wallet accounts—rather than general user or application accounts covered under Compromise Accounts.
Fraud actors may achieve bank account takeover by using stolen credentials, exploiting system vulnerabilities, conducting phishing attacks, bypassing MFA, or leveraging credential stuffing with previously breached credentials. Once access is obtained, they can change contact and security details, add or modify payees, redirect deposits or payouts, initiate unauthorized transfers and card‑not‑present transactions, or extract sensitive financial data that supports additional fraud against the customer or institution.</t>
  </si>
  <si>
    <t>Fraud actors may purchase or otherwise obtain existing access to organizations, accounts, or infrastructure instead of gaining access themselves. This access is often sold through underground markets or broker networks and can include compromised bank and customer accounts, merchant accounts, remote access into back‑office systems, or logins to third‑party platforms that process payments or store customer data.
Purchased access may take many forms, such as credentials and MFA artifacts for online banking or payment accounts, administrative access to merchant portals, remote access tools already deployed on internal systems, or API keys and tokens that allow programmatic control of financial services. Brokers may also pre‑install tooling or “loads” that buyers can use to deploy additional malware or automate fraud at scale.
By leveraging acquired access, fraud actors can bypass early intrusion steps and focus on high‑value fraud activity such as moving funds, altering account details, manipulating transactions, or harvesting additional identities and credentials. They may prioritize buying access to accounts or systems with high limits, weak monitoring, or privileged roles, and to organizations in sectors (for example, processors, fintechs, BPOs, or service providers) where a single foothold can be used to reach additional victims through trusted business relationships and shared platforms.</t>
  </si>
  <si>
    <t>Fraud actors may create malicious advertisements that direct users to fraudulent sites equipped with credential harvesting or payment card skimming capabilities. This may include advertisements for fraudulent merchant sites, compromised legitimate merchant sites, and fradulent Whatsapp investment groups. Fraud actors often use stolen payment card data to fund advertising campaigns, creating a self-sustaining fraud operation where stolen credentials fund further credential theft activities.</t>
  </si>
  <si>
    <t>Fraud Actors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</si>
  <si>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Fraud Actors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</si>
  <si>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Churning fraud occurs when fraud actors repeatedly use stolen payment card information to conduct transactions until the card limit is reached or the account balance is depleted, often before detection or card deactivation.
Fraud actors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</si>
  <si>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Fraud Actors may compromise accounts with services that can be used during targeting. For operations incorporating social engineering, the utilization of an online persona may be important. Rather than creating and cultivating accounts (i.e. Establish Accounts), adversaries may compromise existing accounts. Utilizing an existing persona may engender a level of trust in a potential victim if they have a relationship, or knowledge of, the compromised persona.
A variety of methods exist for compromising accounts, such as gathering credentials via Phishing for Information, purchasing credentials from third-party sites, brute forcing credentials (ex: password reuse from breach credential dumps), or paying employees, suppliers or business partners for access to credentials.Prior to compromising accounts, adversaries may conduct Reconnaissance to inform decisions about which accounts to compromise to further their operation.
Personas may exist on a single site or across multiple sites (ex: Facebook, LinkedIn, Twitter, Google, etc.). Compromised accounts may require additional development, this could include filling out or modifying profile information, further developing social networks, or incorporating photos.
Fraud actors may directly leverage compromised email accounts for Phishing for Information or Phishing.</t>
  </si>
  <si>
    <t xml:space="preserve">Fraud Actors may compromise cloud accounts that can be used during targeting. Adversaries can use compromised cloud accounts to further their operations, including leveraging cloud storage services such as Dropbox, Microsoft OneDrive, or AWS S3 buckets for Exfiltration to Cloud Storage or to Upload Tools. Cloud accounts can also be used in the acquisition of infrastructure, such as Virtual Private Servers or Serverless infrastructure. Additionally, cloud-based messaging services such as Twilio, SendGrid, AWS End User Messaging, AWS SNS (Simple Notification Service), or AWS SES (Simple Email Service) may be leveraged for spam or Phishing. Compromising cloud accounts may allow adversaries to develop sophisticated capabilities without managing their own servers.
A variety of methods exist for compromising cloud accounts, such as gathering credentials via Phishing for Information, purchasing credentials from third-party sites, conducting Password Spraying attacks, or attempting to Steal Application Access Tokens.[4] Prior to compromising cloud accounts, adversaries may conduct Reconnaissance to inform decisions about which accounts to compromise to further their operation. In some cases, adversaries may target privileged service provider accounts with the intent of leveraging a Trusted Relationship between service providers and their customers.
</t>
  </si>
  <si>
    <t>Fraud actors may alter stored payment or payout details in compromised customer, merchant, or vendor accounts to redirect non‑payroll funds to accounts or instruments they control. This can include changing bank information for vendor payments or customer refunds, updating stored cards or digital wallets used for billing, or adding new payment methods to enable unauthorized purchases and withdrawals, while leaving payroll processes untouched.</t>
  </si>
  <si>
    <t xml:space="preserve">Fraud actors may alter payroll or HR system settings so that an employee’s salary or wage payments are redirected to accounts they control. This typically involves changing direct‑deposit account and routing numbers, updating payee details, or modifying payroll profiles inside dedicated payroll/HR platforms, resulting in ongoing diversion of regular paycheck deposits away from the legitimate employee.
</t>
  </si>
  <si>
    <t>Dispute Legitimate Transaction</t>
  </si>
  <si>
    <t>Fraud actors may forge or misrepresent the sender’s email address and related headers so messages appear to come from a trusted or recognizable source, such as a bank, employer, vendor, or colleague. The goal is to make the email look legitimate enough that recipients will trust the content and act on it.
Spoofed emails are commonly used in phishing and fraud schemes to convince victims to click links, open attachments, share credentials or other sensitive information, change payment details, or approve fraudulent transactions. By imitating known domains, display names, or reply‑to addresses - and sometimes bypassing basic email authentication controls - email spoofing increases the likelihood that fraudulent messages evade suspicion and technical defenses.</t>
  </si>
  <si>
    <t xml:space="preserve">Fraud actors may gather information about existing or prospective customers to support targeted fraud operations and social‑engineering attacks against financial institutions, merchants, or platforms. This can include collecting customer identity details (such as names, addresses, dates of birth, government identifiers), account and card data, contact information, relationship data (for example, employers, family members, or business associations), and behavioral or preference information (such as typical spending patterns or channel usage).
Customer information may be sourced from data breaches, underground markets, public records, social media, third‑party data brokers, compromised internal systems, or direct social‑engineering of customers and staff. Aggregated customer data enables more convincing impersonation, tailored fraud scenarios, and higher‑success attacks such as account takeover, new‑account fraud, mule recruitment, and highly targeted social‑engineering campaigns against both customers and the institutions that serve them.
</t>
  </si>
  <si>
    <t>Gather Customer Information</t>
  </si>
  <si>
    <t>Search Open Websites/Domains</t>
  </si>
  <si>
    <t>T1593</t>
  </si>
  <si>
    <t>Fraud actors may search freely available online sources for information about customers or organizations that can be used to plan and target fraud. This can include browsing social media profiles, public records, company websites, data‑leak forums, and other open sources to collect details such as contact information, roles, affiliations, and recent activity.
They may tailor where they look based on the type of information needed—for example, using professional networks to identify finance staff, public procurement sites to learn about vendors and contracts, or social platforms to understand personal relationships and behaviors. Information gathered from open sources can then be used to craft convincing social‑engineering pretexts, identify high‑value accounts or employees, and enable follow‑on techniques such as phishing for information, establishing or compromising accounts, or attempting direct access to exposed services.</t>
  </si>
  <si>
    <t>T1593.001</t>
  </si>
  <si>
    <t>T1593.002</t>
  </si>
  <si>
    <t>Search Open Websites/Domains: Social Media</t>
  </si>
  <si>
    <t>Search Open Websites/Domains: Search Engines</t>
  </si>
  <si>
    <t>Fraud actors may search social media platforms for information about customers or organizations that can be used to plan and target fraud. Public posts, profiles, and company pages can reveal details such as roles and seniority, contact information, locations, recent business events, and personal interests or relationships that make social‑engineering attempts more convincing.
They may passively harvest data from multiple social networks or professional platforms, then use that information to tailor phishing messages, impersonate trusted contacts, or identify high‑value employees and accounts. Fraud actors may also create fake profiles, pages, or groups that mimic real people or organizations in order to build rapport and lure targets into disclosing additional details, which can then be used to support account takeover, new‑account fraud, or other targeted fraud operations.</t>
  </si>
  <si>
    <t>Fraud actors may use search engines to collect information about customers, employees, and organizations that can be leveraged for fraud. General queries can surface public details such as contact information, exposed documents, cached pages, and references to accounts or services tied to a target.
They may also craft specialized queries (for example, using advanced operators or searching by file type) to locate accidentally exposed data, such as configuration files, credential lists, internal documents, or screenshots containing sensitive information. Insights gathered from search results can then be used to refine social‑engineering pretexts, identify weakly protected services, support account takeover or new‑account fraud, and guide further reconnaissance against specific people, systems, or business processes.</t>
  </si>
  <si>
    <t>Fraud actors may create fraudulent merchant accounts with payment processors or acquiring banks to obtain legitimate‑appearing payment acceptance capabilities. These accounts are often opened using stolen or fabricated identity information, shell businesses, or front companies to bypass onboarding and KYC controls.
Once established, fraudulent merchant accounts allow fraud actors to process payments for non‑existent or sham goods and services, run payment card testing at scale, or move and cycle funds as part of broader fraud schemes. By mimicking the behavior and documentation of real merchants, these accounts provide a controlled point for receiving card payments and disbursing proceeds, while making downstream transactions appear to originate from a legitimate business.</t>
  </si>
  <si>
    <t>Create Fraudulent Merchant Account</t>
  </si>
  <si>
    <t>Interactive Voice Response Mapping</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</si>
  <si>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may allow them to obtain the goods or services without actually paying for them, effectively evading detection and potentially causing financial loss to the legitimate party involved.</t>
  </si>
  <si>
    <t>Fraud actors may upload, install, or otherwise set up capabilities and infrastructure that will be used in later stages of fraud operations. This can include staging tools and content they have developed or acquired on infrastructure they control, such as purchased or compromised servers, cloud platforms, or web services, as well as on third‑party platforms like app stores, code‑hosting sites, or social networks.
Staging activities may involve hosting phishing or impersonation websites, configuring command‑and‑control or automation infrastructure, uploading malicious applications or scripts, or creating and populating social media profiles and other online personas for fraud operations. Fraud actors may also stage payloads, tooling, and supporting web resources used to deliver links or files in phishing campaigns, to enable later tool transfer into victim environments, or to support encrypted communications and other operational needs. Collectively, these actions position the technical resources required to execute and sustain fraud at scale.</t>
  </si>
  <si>
    <t>Test Payment Thresholds</t>
  </si>
  <si>
    <t xml:space="preserve">Fraud actors may perform small, low‑value “test” transactions to verify that stolen or compromised payment instruments can be successfully used before attempting larger fraud. In these tests, they confirm details such as whether the card or account is open, has not been blocked, passes authorization checks (for example, AVS/CVV or 3‑D Secure), and can complete online or card‑not‑present purchases without triggering strong controls. Successful tests indicate that a card or account is likely to support higher‑value charges or cash‑out attempts, allowing fraud actors to prioritize the most viable instruments for large‑scale fraudulent transactions or broader card‑testing campaigns.
</t>
  </si>
  <si>
    <t>Electronic Funds Transfer</t>
  </si>
  <si>
    <t>Fraud actors may use electronic funds transfer mechanisms to move money out of compromised accounts into destinations they control. This activity can leverage traditional banking rails, regional payment systems, or peer‑to‑peer platforms to rapidly cash out or further obscure stolen funds.</t>
  </si>
  <si>
    <t>Electronic Funds Transfer: Peer-to-Peer Transfer</t>
  </si>
  <si>
    <t>F1044.003</t>
  </si>
  <si>
    <t>Electronic Funds Transfer: Regional Payment Rail</t>
  </si>
  <si>
    <t xml:space="preserve">Fraud actors may use regional payment systems, such as ACH or SEPA, to schedule push payments, credits, or other electronic transfers from victim accounts to accounts they or their accomplices control. These rails can support repeated or batched withdrawals, enabling lower‑value but high‑volume monetization that may initially blend into normal transaction patterns.
</t>
  </si>
  <si>
    <t>Electronic Funds Transfer: Wire Transfer</t>
  </si>
  <si>
    <t>Fraud actors may initiate domestic or international wire transfers from compromised accounts to mule or controlled accounts. Wire transfers can move large values quickly and, once executed, are often difficult or slow to reverse, providing an efficient channel for high‑value cash‑out.</t>
  </si>
  <si>
    <t>F1045</t>
  </si>
  <si>
    <t>Conversion to Physical Monetary Instruments</t>
  </si>
  <si>
    <t>Fraud actors may turn digital or account‑based balances into physical money or negotiable instruments to complete cash‑out. By moving value into cash or cash‑like forms, they reduce traceability within electronic payment systems and gain flexibility to spend, transport, or further launder proceeds.</t>
  </si>
  <si>
    <t>Conversion to Physical Monetary Instruments: Cash</t>
  </si>
  <si>
    <t xml:space="preserve">Fraud actors may withdraw cash directly from compromised accounts using ATMs, in‑branch teller withdrawals, or cash‑back at point‑of‑sale. Cash withdrawals provide immediate access to funds and can be coordinated across multiple mules, cards, or locations to rapidly deplete balances before controls or fraud‑detection mechanisms respond.
</t>
  </si>
  <si>
    <t>Conversion to Physical Monetary Instruments: Cashier's Check</t>
  </si>
  <si>
    <t>Fraud actors may request cashier’s checks funded from compromised accounts and payable to themselves, accomplices, or front entities. Once issued, cashier’s checks can be deposited, cashed, or used to purchase high‑value goods, providing a semi‑anonymous way to move and store value outside the original account.</t>
  </si>
  <si>
    <t>Conversion to Physical Monetary Instruments: Money Order</t>
  </si>
  <si>
    <t>Fraud actors may purchase money orders using funds drawn from compromised accounts, including via debit card, bank counter transactions, or other payment instruments. Money orders can then be cashed, resold, or used for payments (such as rent or goods), enabling further layering and obscuring the link to the original compromised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</si>
</sst>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6">
    <border>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1" fillId="0" borderId="2"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wrapText="1"/>
    </xf>
    <xf numFmtId="0" fontId="1" fillId="0" borderId="3" xfId="0" applyFont="1" applyBorder="1" applyAlignment="1">
      <alignment horizontal="center" vertical="top" wrapText="1"/>
    </xf>
    <xf numFmtId="0" fontId="1" fillId="2" borderId="3" xfId="0" applyFont="1" applyFill="1" applyBorder="1" applyAlignment="1">
      <alignment horizontal="center" vertical="top" wrapText="1"/>
    </xf>
    <xf numFmtId="0" fontId="0" fillId="3" borderId="4" xfId="0" applyFill="1" applyBorder="1" applyAlignment="1">
      <alignment wrapText="1"/>
    </xf>
    <xf numFmtId="0" fontId="0" fillId="3" borderId="5"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4" borderId="4" xfId="0" applyFill="1" applyBorder="1" applyAlignment="1">
      <alignment wrapText="1"/>
    </xf>
    <xf numFmtId="0" fontId="0" fillId="4" borderId="5" xfId="0" applyFill="1" applyBorder="1" applyAlignment="1">
      <alignment wrapText="1"/>
    </xf>
    <xf numFmtId="0" fontId="0" fillId="0" borderId="0" xfId="0" applyAlignment="1">
      <alignment vertical="center" wrapText="1"/>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border diagonalUp="0" diagonalDown="0">
        <left style="thin">
          <color auto="1"/>
        </left>
        <right style="thin">
          <color auto="1"/>
        </right>
        <top style="thin">
          <color auto="1"/>
        </top>
        <bottom style="thin">
          <color auto="1"/>
        </bottom>
      </border>
    </dxf>
    <dxf>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1" indent="0" justifyLastLine="0" shrinkToFit="0" readingOrder="0"/>
      <border diagonalUp="0" diagonalDown="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29350F-F784-AD40-BAE6-4EE6174009A7}" name="Table1" displayName="Table1" ref="A1:G1048559" totalsRowShown="0" headerRowDxfId="10" dataDxfId="8" headerRowBorderDxfId="9" tableBorderDxfId="7">
  <autoFilter ref="A1:G1048559" xr:uid="{5829350F-F784-AD40-BAE6-4EE6174009A7}"/>
  <sortState xmlns:xlrd2="http://schemas.microsoft.com/office/spreadsheetml/2017/richdata2" ref="A2:G117">
    <sortCondition ref="B1:B1048559"/>
  </sortState>
  <tableColumns count="7">
    <tableColumn id="1" xr3:uid="{3D949CA5-B537-5246-AAD5-602C133940C8}" name="Technique ID" dataDxfId="6"/>
    <tableColumn id="2" xr3:uid="{74652116-25D3-8046-9C36-26586BAFBFEF}" name="Technique" dataDxfId="5"/>
    <tableColumn id="3" xr3:uid="{A9BFF3EC-7D87-DD4A-A482-10EA056B532E}" name="Description" dataDxfId="4"/>
    <tableColumn id="4" xr3:uid="{84FE6BD4-C627-014A-AD16-6A3FC8F8AA81}" name="Tactic ID" dataDxfId="3"/>
    <tableColumn id="5" xr3:uid="{CC99CB09-F797-E74B-88ED-B4281EC02CCE}" name="Tactic Name" dataDxfId="2"/>
    <tableColumn id="7" xr3:uid="{59D2F6CE-E53A-E141-9556-311B3302D753}" name="Reviewer" dataDxfId="1"/>
    <tableColumn id="8" xr3:uid="{BD2CDFAC-0D0E-AE4F-962A-AE16B32F246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2"/>
  <sheetViews>
    <sheetView tabSelected="1" workbookViewId="0">
      <pane ySplit="1" topLeftCell="A114" activePane="bottomLeft" state="frozen"/>
      <selection pane="bottomLeft" activeCell="C117" sqref="C117"/>
    </sheetView>
  </sheetViews>
  <sheetFormatPr baseColWidth="10" defaultColWidth="8.83203125" defaultRowHeight="15" x14ac:dyDescent="0.2"/>
  <cols>
    <col min="1" max="1" width="16.33203125" style="12" bestFit="1" customWidth="1"/>
    <col min="2" max="2" width="28.83203125" style="12" customWidth="1"/>
    <col min="3" max="3" width="75.6640625" style="12" customWidth="1"/>
    <col min="4" max="4" width="8.5" style="12" customWidth="1"/>
    <col min="5" max="5" width="13.83203125" style="12" customWidth="1"/>
    <col min="6" max="6" width="28.5" style="12" customWidth="1"/>
    <col min="7" max="7" width="30.33203125" style="12" customWidth="1"/>
  </cols>
  <sheetData>
    <row r="1" spans="1:7" ht="16" x14ac:dyDescent="0.2">
      <c r="A1" s="1" t="s">
        <v>0</v>
      </c>
      <c r="B1" s="2" t="s">
        <v>1</v>
      </c>
      <c r="C1" s="4" t="s">
        <v>2</v>
      </c>
      <c r="D1" s="2" t="s">
        <v>3</v>
      </c>
      <c r="E1" s="2" t="s">
        <v>4</v>
      </c>
      <c r="F1" s="2" t="s">
        <v>221</v>
      </c>
      <c r="G1" s="2" t="s">
        <v>222</v>
      </c>
    </row>
    <row r="2" spans="1:7" ht="96" x14ac:dyDescent="0.2">
      <c r="A2" s="12" t="s">
        <v>6</v>
      </c>
      <c r="B2" s="12" t="s">
        <v>7</v>
      </c>
      <c r="C2" s="12" t="s">
        <v>289</v>
      </c>
      <c r="D2" s="12" t="str" cm="1">
        <f t="array" ref="D2">IF(E2="","",_xlfn.LET(
    _xlpm.text,E2,
    _xlpm.split,_xlfn.TEXTSPLIT(_xlpm.text,", "),
    _xlpm.ids,_xlfn.MAP(_xlpm.split,_xlfn.LAMBDA(_xlpm.name,INDEX(Tactics!$A$2:$A$8,MATCH(TRIM(_xlpm.name),Tactics!$B$2:$B$8,0)))),
    _xlfn.TEXTJOIN(", ",TRUE,_xlpm.ids)
))</f>
        <v>TA0005</v>
      </c>
      <c r="E2" s="12" t="s">
        <v>9</v>
      </c>
    </row>
    <row r="3" spans="1:7" ht="96" x14ac:dyDescent="0.2">
      <c r="A3" s="12" t="s">
        <v>10</v>
      </c>
      <c r="B3" s="12" t="s">
        <v>11</v>
      </c>
      <c r="C3" s="12" t="s">
        <v>290</v>
      </c>
      <c r="D3" s="12" t="str" cm="1">
        <f t="array" ref="D3">IF(E3="","",_xlfn.LET(
    _xlpm.text,E3,
    _xlpm.split,_xlfn.TEXTSPLIT(_xlpm.text,", "),
    _xlpm.ids,_xlfn.MAP(_xlpm.split,_xlfn.LAMBDA(_xlpm.name,INDEX(Tactics!$A$2:$A$8,MATCH(TRIM(_xlpm.name),Tactics!$B$2:$B$8,0)))),
    _xlfn.TEXTJOIN(", ",TRUE,_xlpm.ids)
))</f>
        <v>FA0001</v>
      </c>
      <c r="E3" s="12" t="s">
        <v>13</v>
      </c>
    </row>
    <row r="4" spans="1:7" ht="80" x14ac:dyDescent="0.2">
      <c r="A4" s="12" t="s">
        <v>14</v>
      </c>
      <c r="B4" s="12" t="s">
        <v>15</v>
      </c>
      <c r="C4" s="12" t="s">
        <v>241</v>
      </c>
      <c r="D4" s="12" t="str" cm="1">
        <f t="array" ref="D4">IF(E4="","",_xlfn.LET(
    _xlpm.text,E4,
    _xlpm.split,_xlfn.TEXTSPLIT(_xlpm.text,", "),
    _xlpm.ids,_xlfn.MAP(_xlpm.split,_xlfn.LAMBDA(_xlpm.name,INDEX(Tactics!$A$2:$A$8,MATCH(TRIM(_xlpm.name),Tactics!$B$2:$B$8,0)))),
    _xlfn.TEXTJOIN(", ",TRUE,_xlpm.ids)
))</f>
        <v>TA0001, TA0002, FA0001</v>
      </c>
      <c r="E4" s="12" t="s">
        <v>321</v>
      </c>
    </row>
    <row r="5" spans="1:7" ht="80" x14ac:dyDescent="0.2">
      <c r="A5" s="12" t="s">
        <v>16</v>
      </c>
      <c r="B5" s="12" t="s">
        <v>17</v>
      </c>
      <c r="C5" s="12" t="s">
        <v>242</v>
      </c>
      <c r="D5" s="12" t="str" cm="1">
        <f t="array" ref="D5">IF(E5="","",_xlfn.LET(
    _xlpm.text,E5,
    _xlpm.split,_xlfn.TEXTSPLIT(_xlpm.text,", "),
    _xlpm.ids,_xlfn.MAP(_xlpm.split,_xlfn.LAMBDA(_xlpm.name,INDEX(Tactics!$A$2:$A$8,MATCH(TRIM(_xlpm.name),Tactics!$B$2:$B$8,0)))),
    _xlfn.TEXTJOIN(", ",TRUE,_xlpm.ids)
))</f>
        <v>TA0001, TA0002, FA0001</v>
      </c>
      <c r="E5" s="12" t="s">
        <v>321</v>
      </c>
    </row>
    <row r="6" spans="1:7" ht="80" x14ac:dyDescent="0.2">
      <c r="A6" s="12" t="s">
        <v>18</v>
      </c>
      <c r="B6" s="12" t="s">
        <v>19</v>
      </c>
      <c r="C6" s="12" t="s">
        <v>243</v>
      </c>
      <c r="D6" s="12" t="str" cm="1">
        <f t="array" ref="D6">IF(E6="","",_xlfn.LET(
    _xlpm.text,E6,
    _xlpm.split,_xlfn.TEXTSPLIT(_xlpm.text,", "),
    _xlpm.ids,_xlfn.MAP(_xlpm.split,_xlfn.LAMBDA(_xlpm.name,INDEX(Tactics!$A$2:$A$8,MATCH(TRIM(_xlpm.name),Tactics!$B$2:$B$8,0)))),
    _xlfn.TEXTJOIN(", ",TRUE,_xlpm.ids)
))</f>
        <v>TA0001, TA0002, FA0001</v>
      </c>
      <c r="E6" s="12" t="s">
        <v>321</v>
      </c>
    </row>
    <row r="7" spans="1:7" ht="272" x14ac:dyDescent="0.2">
      <c r="A7" s="12" t="s">
        <v>20</v>
      </c>
      <c r="B7" s="12" t="s">
        <v>21</v>
      </c>
      <c r="C7" s="12" t="s">
        <v>328</v>
      </c>
      <c r="D7" s="12" t="str" cm="1">
        <f t="array" ref="D7">IF(E7="","",_xlfn.LET(
    _xlpm.text,E7,
    _xlpm.split,_xlfn.TEXTSPLIT(_xlpm.text,", "),
    _xlpm.ids,_xlfn.MAP(_xlpm.split,_xlfn.LAMBDA(_xlpm.name,INDEX(Tactics!$A$2:$A$8,MATCH(TRIM(_xlpm.name),Tactics!$B$2:$B$8,0)))),
    _xlfn.TEXTJOIN(", ",TRUE,_xlpm.ids)
))</f>
        <v>TA0002</v>
      </c>
      <c r="E7" s="12" t="s">
        <v>23</v>
      </c>
    </row>
    <row r="8" spans="1:7" ht="80" x14ac:dyDescent="0.2">
      <c r="A8" s="12" t="s">
        <v>25</v>
      </c>
      <c r="B8" s="12" t="s">
        <v>26</v>
      </c>
      <c r="C8" s="12" t="s">
        <v>278</v>
      </c>
      <c r="D8" s="12" t="str" cm="1">
        <f t="array" ref="D8">IF(E8="","",_xlfn.LET(
    _xlpm.text,E8,
    _xlpm.split,_xlfn.TEXTSPLIT(_xlpm.text,", "),
    _xlpm.ids,_xlfn.MAP(_xlpm.split,_xlfn.LAMBDA(_xlpm.name,INDEX(Tactics!$A$2:$A$8,MATCH(TRIM(_xlpm.name),Tactics!$B$2:$B$8,0)))),
    _xlfn.TEXTJOIN(", ",TRUE,_xlpm.ids)
))</f>
        <v>TA0001</v>
      </c>
      <c r="E8" s="12" t="s">
        <v>27</v>
      </c>
    </row>
    <row r="9" spans="1:7" ht="80" x14ac:dyDescent="0.2">
      <c r="A9" s="12" t="s">
        <v>28</v>
      </c>
      <c r="B9" s="12" t="s">
        <v>29</v>
      </c>
      <c r="C9" s="12" t="s">
        <v>279</v>
      </c>
      <c r="D9" s="12" t="str" cm="1">
        <f t="array" ref="D9">IF(E9="","",_xlfn.LET(
    _xlpm.text,E9,
    _xlpm.split,_xlfn.TEXTSPLIT(_xlpm.text,", "),
    _xlpm.ids,_xlfn.MAP(_xlpm.split,_xlfn.LAMBDA(_xlpm.name,INDEX(Tactics!$A$2:$A$8,MATCH(TRIM(_xlpm.name),Tactics!$B$2:$B$8,0)))),
    _xlfn.TEXTJOIN(", ",TRUE,_xlpm.ids)
))</f>
        <v>FA0001</v>
      </c>
      <c r="E9" s="12" t="s">
        <v>13</v>
      </c>
    </row>
    <row r="10" spans="1:7" ht="96" x14ac:dyDescent="0.2">
      <c r="A10" s="12" t="s">
        <v>31</v>
      </c>
      <c r="B10" s="12" t="s">
        <v>32</v>
      </c>
      <c r="C10" s="12" t="s">
        <v>335</v>
      </c>
      <c r="D10" s="12" t="str" cm="1">
        <f t="array" ref="D10">IF(E10="","",_xlfn.LET(
    _xlpm.text,E10,
    _xlpm.split,_xlfn.TEXTSPLIT(_xlpm.text,", "),
    _xlpm.ids,_xlfn.MAP(_xlpm.split,_xlfn.LAMBDA(_xlpm.name,INDEX(Tactics!$A$2:$A$8,MATCH(TRIM(_xlpm.name),Tactics!$B$2:$B$8,0)))),
    _xlfn.TEXTJOIN(", ",TRUE,_xlpm.ids)
))</f>
        <v>FA0001, TA0005</v>
      </c>
      <c r="E10" s="12" t="s">
        <v>320</v>
      </c>
    </row>
    <row r="11" spans="1:7" ht="80" x14ac:dyDescent="0.2">
      <c r="A11" s="12" t="s">
        <v>41</v>
      </c>
      <c r="B11" s="12" t="s">
        <v>322</v>
      </c>
      <c r="C11" s="12" t="s">
        <v>280</v>
      </c>
      <c r="D11" s="12" t="str" cm="1">
        <f t="array" ref="D11">IF(E11="","",_xlfn.LET(
    _xlpm.text,E11,
    _xlpm.split,_xlfn.TEXTSPLIT(_xlpm.text,", "),
    _xlpm.ids,_xlfn.MAP(_xlpm.split,_xlfn.LAMBDA(_xlpm.name,INDEX(Tactics!$A$2:$A$8,MATCH(TRIM(_xlpm.name),Tactics!$B$2:$B$8,0)))),
    _xlfn.TEXTJOIN(", ",TRUE,_xlpm.ids)
))</f>
        <v>FA0001, TA0005</v>
      </c>
      <c r="E11" s="12" t="s">
        <v>320</v>
      </c>
    </row>
    <row r="12" spans="1:7" ht="80" x14ac:dyDescent="0.2">
      <c r="A12" s="12" t="s">
        <v>38</v>
      </c>
      <c r="B12" s="12" t="s">
        <v>34</v>
      </c>
      <c r="C12" s="12" t="s">
        <v>291</v>
      </c>
      <c r="D12" s="12" t="str" cm="1">
        <f t="array" ref="D12">IF(E12="","",_xlfn.LET(
    _xlpm.text,E12,
    _xlpm.split,_xlfn.TEXTSPLIT(_xlpm.text,", "),
    _xlpm.ids,_xlfn.MAP(_xlpm.split,_xlfn.LAMBDA(_xlpm.name,INDEX(Tactics!$A$2:$A$8,MATCH(TRIM(_xlpm.name),Tactics!$B$2:$B$8,0)))),
    _xlfn.TEXTJOIN(", ",TRUE,_xlpm.ids)
))</f>
        <v>FA0001, TA0005</v>
      </c>
      <c r="E12" s="12" t="s">
        <v>320</v>
      </c>
    </row>
    <row r="13" spans="1:7" ht="80" x14ac:dyDescent="0.2">
      <c r="A13" s="12" t="s">
        <v>39</v>
      </c>
      <c r="B13" s="12" t="s">
        <v>36</v>
      </c>
      <c r="C13" s="12" t="s">
        <v>292</v>
      </c>
      <c r="D13" s="12" t="str" cm="1">
        <f t="array" ref="D13">IF(E13="","",_xlfn.LET(
    _xlpm.text,E13,
    _xlpm.split,_xlfn.TEXTSPLIT(_xlpm.text,", "),
    _xlpm.ids,_xlfn.MAP(_xlpm.split,_xlfn.LAMBDA(_xlpm.name,INDEX(Tactics!$A$2:$A$8,MATCH(TRIM(_xlpm.name),Tactics!$B$2:$B$8,0)))),
    _xlfn.TEXTJOIN(", ",TRUE,_xlpm.ids)
))</f>
        <v>FA0001, TA0005</v>
      </c>
      <c r="E13" s="12" t="s">
        <v>320</v>
      </c>
    </row>
    <row r="14" spans="1:7" ht="80" x14ac:dyDescent="0.2">
      <c r="A14" s="12" t="s">
        <v>33</v>
      </c>
      <c r="B14" s="12" t="s">
        <v>350</v>
      </c>
      <c r="C14" s="12" t="s">
        <v>281</v>
      </c>
      <c r="D14" s="12" t="str" cm="1">
        <f t="array" ref="D14">IF(E14="","",_xlfn.LET(
    _xlpm.text,E14,
    _xlpm.split,_xlfn.TEXTSPLIT(_xlpm.text,", "),
    _xlpm.ids,_xlfn.MAP(_xlpm.split,_xlfn.LAMBDA(_xlpm.name,INDEX(Tactics!$A$2:$A$8,MATCH(TRIM(_xlpm.name),Tactics!$B$2:$B$8,0)))),
    _xlfn.TEXTJOIN(", ",TRUE,_xlpm.ids)
))</f>
        <v>FA0001, TA0005</v>
      </c>
      <c r="E14" s="12" t="s">
        <v>320</v>
      </c>
    </row>
    <row r="15" spans="1:7" ht="80" x14ac:dyDescent="0.2">
      <c r="A15" s="12" t="s">
        <v>37</v>
      </c>
      <c r="B15" s="12" t="s">
        <v>40</v>
      </c>
      <c r="C15" s="12" t="s">
        <v>336</v>
      </c>
      <c r="D15" s="12" t="str" cm="1">
        <f t="array" ref="D15">IF(E15="","",_xlfn.LET(
    _xlpm.text,E15,
    _xlpm.split,_xlfn.TEXTSPLIT(_xlpm.text,", "),
    _xlpm.ids,_xlfn.MAP(_xlpm.split,_xlfn.LAMBDA(_xlpm.name,INDEX(Tactics!$A$2:$A$8,MATCH(TRIM(_xlpm.name),Tactics!$B$2:$B$8,0)))),
    _xlfn.TEXTJOIN(", ",TRUE,_xlpm.ids)
))</f>
        <v>FA0001, TA0005</v>
      </c>
      <c r="E15" s="12" t="s">
        <v>320</v>
      </c>
    </row>
    <row r="16" spans="1:7" ht="80" x14ac:dyDescent="0.2">
      <c r="A16" s="12" t="s">
        <v>35</v>
      </c>
      <c r="B16" s="12" t="s">
        <v>329</v>
      </c>
      <c r="C16" s="12" t="s">
        <v>282</v>
      </c>
      <c r="D16" s="12" t="str" cm="1">
        <f t="array" ref="D16">IF(E16="","",_xlfn.LET(
    _xlpm.text,E16,
    _xlpm.split,_xlfn.TEXTSPLIT(_xlpm.text,", "),
    _xlpm.ids,_xlfn.MAP(_xlpm.split,_xlfn.LAMBDA(_xlpm.name,INDEX(Tactics!$A$2:$A$8,MATCH(TRIM(_xlpm.name),Tactics!$B$2:$B$8,0)))),
    _xlfn.TEXTJOIN(", ",TRUE,_xlpm.ids)
))</f>
        <v>FA0001, TA0005</v>
      </c>
      <c r="E16" s="12" t="s">
        <v>320</v>
      </c>
    </row>
    <row r="17" spans="1:5" ht="80" x14ac:dyDescent="0.2">
      <c r="A17" s="12" t="s">
        <v>44</v>
      </c>
      <c r="B17" s="12" t="s">
        <v>43</v>
      </c>
      <c r="C17" s="12" t="s">
        <v>359</v>
      </c>
      <c r="D17" s="12" t="str" cm="1">
        <f t="array" ref="D17">IF(E17="","",_xlfn.LET(
    _xlpm.text,E17,
    _xlpm.split,_xlfn.TEXTSPLIT(_xlpm.text,", "),
    _xlpm.ids,_xlfn.MAP(_xlpm.split,_xlfn.LAMBDA(_xlpm.name,INDEX(Tactics!$A$2:$A$8,MATCH(TRIM(_xlpm.name),Tactics!$B$2:$B$8,0)))),
    _xlfn.TEXTJOIN(", ",TRUE,_xlpm.ids)
))</f>
        <v>FA0001, TA0005</v>
      </c>
      <c r="E17" s="12" t="s">
        <v>320</v>
      </c>
    </row>
    <row r="18" spans="1:5" ht="80" x14ac:dyDescent="0.2">
      <c r="A18" s="12" t="s">
        <v>42</v>
      </c>
      <c r="B18" s="12" t="s">
        <v>45</v>
      </c>
      <c r="C18" s="12" t="s">
        <v>283</v>
      </c>
      <c r="D18" s="12" t="str" cm="1">
        <f t="array" ref="D18">IF(E18="","",_xlfn.LET(
    _xlpm.text,E18,
    _xlpm.split,_xlfn.TEXTSPLIT(_xlpm.text,", "),
    _xlpm.ids,_xlfn.MAP(_xlpm.split,_xlfn.LAMBDA(_xlpm.name,INDEX(Tactics!$A$2:$A$8,MATCH(TRIM(_xlpm.name),Tactics!$B$2:$B$8,0)))),
    _xlfn.TEXTJOIN(", ",TRUE,_xlpm.ids)
))</f>
        <v>FA0001, TA0005</v>
      </c>
      <c r="E18" s="12" t="s">
        <v>320</v>
      </c>
    </row>
    <row r="19" spans="1:5" ht="176" x14ac:dyDescent="0.2">
      <c r="A19" s="12" t="s">
        <v>46</v>
      </c>
      <c r="B19" s="12" t="s">
        <v>47</v>
      </c>
      <c r="C19" s="12" t="s">
        <v>351</v>
      </c>
      <c r="D19" s="12" t="str" cm="1">
        <f t="array" ref="D19">IF(E19="","",_xlfn.LET(
    _xlpm.text,E19,
    _xlpm.split,_xlfn.TEXTSPLIT(_xlpm.text,", "),
    _xlpm.ids,_xlfn.MAP(_xlpm.split,_xlfn.LAMBDA(_xlpm.name,INDEX(Tactics!$A$2:$A$8,MATCH(TRIM(_xlpm.name),Tactics!$B$2:$B$8,0)))),
    _xlfn.TEXTJOIN(", ",TRUE,_xlpm.ids)
))</f>
        <v>TA0001</v>
      </c>
      <c r="E19" s="12" t="s">
        <v>27</v>
      </c>
    </row>
    <row r="20" spans="1:5" ht="160" x14ac:dyDescent="0.2">
      <c r="A20" s="12" t="s">
        <v>50</v>
      </c>
      <c r="B20" s="12" t="s">
        <v>48</v>
      </c>
      <c r="C20" s="12" t="s">
        <v>225</v>
      </c>
      <c r="D20" s="12" t="str" cm="1">
        <f t="array" ref="D20">IF(E20="","",_xlfn.LET(
    _xlpm.text,E20,
    _xlpm.split,_xlfn.TEXTSPLIT(_xlpm.text,", "),
    _xlpm.ids,_xlfn.MAP(_xlpm.split,_xlfn.LAMBDA(_xlpm.name,INDEX(Tactics!$A$2:$A$8,MATCH(TRIM(_xlpm.name),Tactics!$B$2:$B$8,0)))),
    _xlfn.TEXTJOIN(", ",TRUE,_xlpm.ids)
))</f>
        <v>TA0001</v>
      </c>
      <c r="E20" s="12" t="s">
        <v>27</v>
      </c>
    </row>
    <row r="21" spans="1:5" ht="176" x14ac:dyDescent="0.2">
      <c r="A21" s="12" t="s">
        <v>316</v>
      </c>
      <c r="B21" s="12" t="s">
        <v>49</v>
      </c>
      <c r="C21" s="12" t="s">
        <v>323</v>
      </c>
      <c r="D21" s="12" t="str" cm="1">
        <f t="array" ref="D21">IF(E21="","",_xlfn.LET(
    _xlpm.text,E21,
    _xlpm.split,_xlfn.TEXTSPLIT(_xlpm.text,", "),
    _xlpm.ids,_xlfn.MAP(_xlpm.split,_xlfn.LAMBDA(_xlpm.name,INDEX(Tactics!$A$2:$A$8,MATCH(TRIM(_xlpm.name),Tactics!$B$2:$B$8,0)))),
    _xlfn.TEXTJOIN(", ",TRUE,_xlpm.ids)
))</f>
        <v>TA0001</v>
      </c>
      <c r="E21" s="12" t="s">
        <v>27</v>
      </c>
    </row>
    <row r="22" spans="1:5" ht="112" x14ac:dyDescent="0.2">
      <c r="A22" s="12" t="s">
        <v>317</v>
      </c>
      <c r="B22" s="12" t="s">
        <v>51</v>
      </c>
      <c r="C22" s="12" t="s">
        <v>226</v>
      </c>
      <c r="D22" s="12" t="str" cm="1">
        <f t="array" ref="D22">IF(E22="","",_xlfn.LET(
    _xlpm.text,E22,
    _xlpm.split,_xlfn.TEXTSPLIT(_xlpm.text,", "),
    _xlpm.ids,_xlfn.MAP(_xlpm.split,_xlfn.LAMBDA(_xlpm.name,INDEX(Tactics!$A$2:$A$8,MATCH(TRIM(_xlpm.name),Tactics!$B$2:$B$8,0)))),
    _xlfn.TEXTJOIN(", ",TRUE,_xlpm.ids)
))</f>
        <v>TA0001</v>
      </c>
      <c r="E22" s="12" t="s">
        <v>27</v>
      </c>
    </row>
    <row r="23" spans="1:5" ht="304" x14ac:dyDescent="0.2">
      <c r="A23" s="12" t="s">
        <v>52</v>
      </c>
      <c r="B23" s="12" t="s">
        <v>53</v>
      </c>
      <c r="C23" s="12" t="s">
        <v>352</v>
      </c>
      <c r="D23" s="12" t="str" cm="1">
        <f t="array" ref="D23">IF(E23="","",_xlfn.LET(
    _xlpm.text,E23,
    _xlpm.split,_xlfn.TEXTSPLIT(_xlpm.text,", "),
    _xlpm.ids,_xlfn.MAP(_xlpm.split,_xlfn.LAMBDA(_xlpm.name,INDEX(Tactics!$A$2:$A$8,MATCH(TRIM(_xlpm.name),Tactics!$B$2:$B$8,0)))),
    _xlfn.TEXTJOIN(", ",TRUE,_xlpm.ids)
))</f>
        <v>TA0042</v>
      </c>
      <c r="E23" s="12" t="s">
        <v>57</v>
      </c>
    </row>
    <row r="24" spans="1:5" ht="96" x14ac:dyDescent="0.2">
      <c r="A24" s="12" t="s">
        <v>54</v>
      </c>
      <c r="B24" s="12" t="s">
        <v>55</v>
      </c>
      <c r="C24" s="12" t="s">
        <v>310</v>
      </c>
      <c r="D24" s="12" t="str" cm="1">
        <f t="array" ref="D24">IF(E24="","",_xlfn.LET(
    _xlpm.text,E24,
    _xlpm.split,_xlfn.TEXTSPLIT(_xlpm.text,", "),
    _xlpm.ids,_xlfn.MAP(_xlpm.split,_xlfn.LAMBDA(_xlpm.name,INDEX(Tactics!$A$2:$A$8,MATCH(TRIM(_xlpm.name),Tactics!$B$2:$B$8,0)))),
    _xlfn.TEXTJOIN(", ",TRUE,_xlpm.ids)
))</f>
        <v>TA0042</v>
      </c>
      <c r="E24" s="12" t="s">
        <v>57</v>
      </c>
    </row>
    <row r="25" spans="1:5" ht="80" x14ac:dyDescent="0.2">
      <c r="A25" s="12" t="s">
        <v>58</v>
      </c>
      <c r="B25" s="12" t="s">
        <v>59</v>
      </c>
      <c r="C25" s="12" t="s">
        <v>244</v>
      </c>
      <c r="D25" s="12" t="str" cm="1">
        <f t="array" ref="D25">IF(E25="","",_xlfn.LET(
    _xlpm.text,E25,
    _xlpm.split,_xlfn.TEXTSPLIT(_xlpm.text,", "),
    _xlpm.ids,_xlfn.MAP(_xlpm.split,_xlfn.LAMBDA(_xlpm.name,INDEX(Tactics!$A$2:$A$8,MATCH(TRIM(_xlpm.name),Tactics!$B$2:$B$8,0)))),
    _xlfn.TEXTJOIN(", ",TRUE,_xlpm.ids)
))</f>
        <v>TA0042</v>
      </c>
      <c r="E25" s="12" t="s">
        <v>57</v>
      </c>
    </row>
    <row r="26" spans="1:5" ht="96" x14ac:dyDescent="0.2">
      <c r="A26" s="12" t="s">
        <v>60</v>
      </c>
      <c r="B26" s="12" t="s">
        <v>61</v>
      </c>
      <c r="C26" s="12" t="s">
        <v>353</v>
      </c>
      <c r="D26" s="12" t="str" cm="1">
        <f t="array" ref="D26">IF(E26="","",_xlfn.LET(
    _xlpm.text,E26,
    _xlpm.split,_xlfn.TEXTSPLIT(_xlpm.text,", "),
    _xlpm.ids,_xlfn.MAP(_xlpm.split,_xlfn.LAMBDA(_xlpm.name,INDEX(Tactics!$A$2:$A$8,MATCH(TRIM(_xlpm.name),Tactics!$B$2:$B$8,0)))),
    _xlfn.TEXTJOIN(", ",TRUE,_xlpm.ids)
))</f>
        <v>TA0042</v>
      </c>
      <c r="E26" s="12" t="s">
        <v>57</v>
      </c>
    </row>
    <row r="27" spans="1:5" ht="64" x14ac:dyDescent="0.2">
      <c r="A27" s="12" t="s">
        <v>62</v>
      </c>
      <c r="B27" s="12" t="s">
        <v>63</v>
      </c>
      <c r="C27" s="12" t="s">
        <v>293</v>
      </c>
      <c r="D27" s="12" t="str" cm="1">
        <f t="array" ref="D27">IF(E27="","",_xlfn.LET(
    _xlpm.text,E27,
    _xlpm.split,_xlfn.TEXTSPLIT(_xlpm.text,", "),
    _xlpm.ids,_xlfn.MAP(_xlpm.split,_xlfn.LAMBDA(_xlpm.name,INDEX(Tactics!$A$2:$A$8,MATCH(TRIM(_xlpm.name),Tactics!$B$2:$B$8,0)))),
    _xlfn.TEXTJOIN(", ",TRUE,_xlpm.ids)
))</f>
        <v>TA0042</v>
      </c>
      <c r="E27" s="12" t="s">
        <v>57</v>
      </c>
    </row>
    <row r="28" spans="1:5" ht="96" x14ac:dyDescent="0.2">
      <c r="A28" s="12" t="s">
        <v>64</v>
      </c>
      <c r="B28" s="12" t="s">
        <v>65</v>
      </c>
      <c r="C28" s="12" t="s">
        <v>245</v>
      </c>
      <c r="D28" s="12" t="str" cm="1">
        <f t="array" ref="D28">IF(E28="","",_xlfn.LET(
    _xlpm.text,E28,
    _xlpm.split,_xlfn.TEXTSPLIT(_xlpm.text,", "),
    _xlpm.ids,_xlfn.MAP(_xlpm.split,_xlfn.LAMBDA(_xlpm.name,INDEX(Tactics!$A$2:$A$8,MATCH(TRIM(_xlpm.name),Tactics!$B$2:$B$8,0)))),
    _xlfn.TEXTJOIN(", ",TRUE,_xlpm.ids)
))</f>
        <v>TA0001, FA0001, TA0002</v>
      </c>
      <c r="E28" s="12" t="s">
        <v>324</v>
      </c>
    </row>
    <row r="29" spans="1:5" ht="80" x14ac:dyDescent="0.2">
      <c r="A29" s="12" t="s">
        <v>66</v>
      </c>
      <c r="B29" s="12" t="s">
        <v>67</v>
      </c>
      <c r="C29" s="12" t="s">
        <v>266</v>
      </c>
      <c r="D29" s="12" t="str" cm="1">
        <f t="array" ref="D29">IF(E29="","",_xlfn.LET(
    _xlpm.text,E29,
    _xlpm.split,_xlfn.TEXTSPLIT(_xlpm.text,", "),
    _xlpm.ids,_xlfn.MAP(_xlpm.split,_xlfn.LAMBDA(_xlpm.name,INDEX(Tactics!$A$2:$A$8,MATCH(TRIM(_xlpm.name),Tactics!$B$2:$B$8,0)))),
    _xlfn.TEXTJOIN(", ",TRUE,_xlpm.ids)
))</f>
        <v>TA0001, FA0001, TA0002</v>
      </c>
      <c r="E29" s="12" t="s">
        <v>324</v>
      </c>
    </row>
    <row r="30" spans="1:5" ht="96" x14ac:dyDescent="0.2">
      <c r="A30" s="12" t="s">
        <v>68</v>
      </c>
      <c r="B30" s="12" t="s">
        <v>69</v>
      </c>
      <c r="C30" s="12" t="s">
        <v>246</v>
      </c>
      <c r="D30" s="12" t="str" cm="1">
        <f t="array" ref="D30">IF(E30="","",_xlfn.LET(
    _xlpm.text,E30,
    _xlpm.split,_xlfn.TEXTSPLIT(_xlpm.text,", "),
    _xlpm.ids,_xlfn.MAP(_xlpm.split,_xlfn.LAMBDA(_xlpm.name,INDEX(Tactics!$A$2:$A$8,MATCH(TRIM(_xlpm.name),Tactics!$B$2:$B$8,0)))),
    _xlfn.TEXTJOIN(", ",TRUE,_xlpm.ids)
))</f>
        <v>TA0001, FA0001, TA0002</v>
      </c>
      <c r="E30" s="12" t="s">
        <v>324</v>
      </c>
    </row>
    <row r="31" spans="1:5" ht="80" x14ac:dyDescent="0.2">
      <c r="A31" s="12" t="s">
        <v>70</v>
      </c>
      <c r="B31" s="12" t="s">
        <v>71</v>
      </c>
      <c r="C31" s="12" t="s">
        <v>247</v>
      </c>
      <c r="D31" s="12" t="str" cm="1">
        <f t="array" ref="D31">IF(E31="","",_xlfn.LET(
    _xlpm.text,E31,
    _xlpm.split,_xlfn.TEXTSPLIT(_xlpm.text,", "),
    _xlpm.ids,_xlfn.MAP(_xlpm.split,_xlfn.LAMBDA(_xlpm.name,INDEX(Tactics!$A$2:$A$8,MATCH(TRIM(_xlpm.name),Tactics!$B$2:$B$8,0)))),
    _xlfn.TEXTJOIN(", ",TRUE,_xlpm.ids)
))</f>
        <v>TA0001, FA0001, TA0002</v>
      </c>
      <c r="E31" s="12" t="s">
        <v>324</v>
      </c>
    </row>
    <row r="32" spans="1:5" ht="96" x14ac:dyDescent="0.2">
      <c r="A32" s="12" t="s">
        <v>73</v>
      </c>
      <c r="B32" s="12" t="s">
        <v>72</v>
      </c>
      <c r="C32" s="12" t="s">
        <v>276</v>
      </c>
      <c r="D32" s="12" t="str" cm="1">
        <f t="array" ref="D32">IF(E32="","",_xlfn.LET(
    _xlpm.text,E32,
    _xlpm.split,_xlfn.TEXTSPLIT(_xlpm.text,", "),
    _xlpm.ids,_xlfn.MAP(_xlpm.split,_xlfn.LAMBDA(_xlpm.name,INDEX(Tactics!$A$2:$A$8,MATCH(TRIM(_xlpm.name),Tactics!$B$2:$B$8,0)))),
    _xlfn.TEXTJOIN(", ",TRUE,_xlpm.ids)
))</f>
        <v>TA0001, FA0001, TA0002</v>
      </c>
      <c r="E32" s="12" t="s">
        <v>324</v>
      </c>
    </row>
    <row r="33" spans="1:5" ht="80" x14ac:dyDescent="0.2">
      <c r="A33" s="12" t="s">
        <v>74</v>
      </c>
      <c r="B33" s="12" t="s">
        <v>75</v>
      </c>
      <c r="C33" s="12" t="s">
        <v>294</v>
      </c>
      <c r="D33" s="12" t="str" cm="1">
        <f t="array" ref="D33">IF(E33="","",_xlfn.LET(
    _xlpm.text,E33,
    _xlpm.split,_xlfn.TEXTSPLIT(_xlpm.text,", "),
    _xlpm.ids,_xlfn.MAP(_xlpm.split,_xlfn.LAMBDA(_xlpm.name,INDEX(Tactics!$A$2:$A$8,MATCH(TRIM(_xlpm.name),Tactics!$B$2:$B$8,0)))),
    _xlfn.TEXTJOIN(", ",TRUE,_xlpm.ids)
))</f>
        <v>TA0002</v>
      </c>
      <c r="E33" s="12" t="s">
        <v>23</v>
      </c>
    </row>
    <row r="34" spans="1:5" ht="80" x14ac:dyDescent="0.2">
      <c r="A34" s="12" t="s">
        <v>76</v>
      </c>
      <c r="B34" s="12" t="s">
        <v>77</v>
      </c>
      <c r="C34" s="12" t="s">
        <v>248</v>
      </c>
      <c r="D34" s="12" t="str" cm="1">
        <f t="array" ref="D34">IF(E34="","",_xlfn.LET(
    _xlpm.text,E34,
    _xlpm.split,_xlfn.TEXTSPLIT(_xlpm.text,", "),
    _xlpm.ids,_xlfn.MAP(_xlpm.split,_xlfn.LAMBDA(_xlpm.name,INDEX(Tactics!$A$2:$A$8,MATCH(TRIM(_xlpm.name),Tactics!$B$2:$B$8,0)))),
    _xlfn.TEXTJOIN(", ",TRUE,_xlpm.ids)
))</f>
        <v>TA0002</v>
      </c>
      <c r="E34" s="12" t="s">
        <v>23</v>
      </c>
    </row>
    <row r="35" spans="1:5" ht="80" x14ac:dyDescent="0.2">
      <c r="A35" s="12" t="s">
        <v>78</v>
      </c>
      <c r="B35" s="12" t="s">
        <v>79</v>
      </c>
      <c r="C35" s="12" t="s">
        <v>295</v>
      </c>
      <c r="D35" s="12" t="str" cm="1">
        <f t="array" ref="D35">IF(E35="","",_xlfn.LET(
    _xlpm.text,E35,
    _xlpm.split,_xlfn.TEXTSPLIT(_xlpm.text,", "),
    _xlpm.ids,_xlfn.MAP(_xlpm.split,_xlfn.LAMBDA(_xlpm.name,INDEX(Tactics!$A$2:$A$8,MATCH(TRIM(_xlpm.name),Tactics!$B$2:$B$8,0)))),
    _xlfn.TEXTJOIN(", ",TRUE,_xlpm.ids)
))</f>
        <v>TA0002</v>
      </c>
      <c r="E35" s="12" t="s">
        <v>23</v>
      </c>
    </row>
    <row r="36" spans="1:5" ht="80" x14ac:dyDescent="0.2">
      <c r="A36" s="12" t="s">
        <v>80</v>
      </c>
      <c r="B36" s="12" t="s">
        <v>81</v>
      </c>
      <c r="C36" s="12" t="s">
        <v>249</v>
      </c>
      <c r="D36" s="12" t="str" cm="1">
        <f t="array" ref="D36">IF(E36="","",_xlfn.LET(
    _xlpm.text,E36,
    _xlpm.split,_xlfn.TEXTSPLIT(_xlpm.text,", "),
    _xlpm.ids,_xlfn.MAP(_xlpm.split,_xlfn.LAMBDA(_xlpm.name,INDEX(Tactics!$A$2:$A$8,MATCH(TRIM(_xlpm.name),Tactics!$B$2:$B$8,0)))),
    _xlfn.TEXTJOIN(", ",TRUE,_xlpm.ids)
))</f>
        <v>TA0002, FA0001</v>
      </c>
      <c r="E36" s="12" t="s">
        <v>325</v>
      </c>
    </row>
    <row r="37" spans="1:5" ht="64" x14ac:dyDescent="0.2">
      <c r="A37" s="12" t="s">
        <v>82</v>
      </c>
      <c r="B37" s="12" t="s">
        <v>83</v>
      </c>
      <c r="C37" s="12" t="s">
        <v>250</v>
      </c>
      <c r="D37" s="12" t="str" cm="1">
        <f t="array" ref="D37">IF(E37="","",_xlfn.LET(
    _xlpm.text,E37,
    _xlpm.split,_xlfn.TEXTSPLIT(_xlpm.text,", "),
    _xlpm.ids,_xlfn.MAP(_xlpm.split,_xlfn.LAMBDA(_xlpm.name,INDEX(Tactics!$A$2:$A$8,MATCH(TRIM(_xlpm.name),Tactics!$B$2:$B$8,0)))),
    _xlfn.TEXTJOIN(", ",TRUE,_xlpm.ids)
))</f>
        <v>TA0002, FA0001</v>
      </c>
      <c r="E37" s="12" t="s">
        <v>325</v>
      </c>
    </row>
    <row r="38" spans="1:5" ht="80" x14ac:dyDescent="0.2">
      <c r="A38" s="12" t="s">
        <v>84</v>
      </c>
      <c r="B38" s="12" t="s">
        <v>85</v>
      </c>
      <c r="C38" s="12" t="s">
        <v>251</v>
      </c>
      <c r="D38" s="12" t="str" cm="1">
        <f t="array" ref="D38">IF(E38="","",_xlfn.LET(
    _xlpm.text,E38,
    _xlpm.split,_xlfn.TEXTSPLIT(_xlpm.text,", "),
    _xlpm.ids,_xlfn.MAP(_xlpm.split,_xlfn.LAMBDA(_xlpm.name,INDEX(Tactics!$A$2:$A$8,MATCH(TRIM(_xlpm.name),Tactics!$B$2:$B$8,0)))),
    _xlfn.TEXTJOIN(", ",TRUE,_xlpm.ids)
))</f>
        <v>TA0002, FA0001</v>
      </c>
      <c r="E38" s="12" t="s">
        <v>325</v>
      </c>
    </row>
    <row r="39" spans="1:5" ht="64" x14ac:dyDescent="0.2">
      <c r="A39" s="12" t="s">
        <v>86</v>
      </c>
      <c r="B39" s="12" t="s">
        <v>87</v>
      </c>
      <c r="C39" s="12" t="s">
        <v>296</v>
      </c>
      <c r="D39" s="12" t="str" cm="1">
        <f t="array" ref="D39">IF(E39="","",_xlfn.LET(
    _xlpm.text,E39,
    _xlpm.split,_xlfn.TEXTSPLIT(_xlpm.text,", "),
    _xlpm.ids,_xlfn.MAP(_xlpm.split,_xlfn.LAMBDA(_xlpm.name,INDEX(Tactics!$A$2:$A$8,MATCH(TRIM(_xlpm.name),Tactics!$B$2:$B$8,0)))),
    _xlfn.TEXTJOIN(", ",TRUE,_xlpm.ids)
))</f>
        <v>TA0002, FA0001</v>
      </c>
      <c r="E39" s="12" t="s">
        <v>325</v>
      </c>
    </row>
    <row r="40" spans="1:5" ht="80" x14ac:dyDescent="0.2">
      <c r="A40" s="12" t="s">
        <v>88</v>
      </c>
      <c r="B40" s="12" t="s">
        <v>89</v>
      </c>
      <c r="C40" s="12" t="s">
        <v>297</v>
      </c>
      <c r="D40" s="12" t="str" cm="1">
        <f t="array" ref="D40">IF(E40="","",_xlfn.LET(
    _xlpm.text,E40,
    _xlpm.split,_xlfn.TEXTSPLIT(_xlpm.text,", "),
    _xlpm.ids,_xlfn.MAP(_xlpm.split,_xlfn.LAMBDA(_xlpm.name,INDEX(Tactics!$A$2:$A$8,MATCH(TRIM(_xlpm.name),Tactics!$B$2:$B$8,0)))),
    _xlfn.TEXTJOIN(", ",TRUE,_xlpm.ids)
))</f>
        <v>TA0002, FA0001</v>
      </c>
      <c r="E40" s="12" t="s">
        <v>325</v>
      </c>
    </row>
    <row r="41" spans="1:5" ht="80" x14ac:dyDescent="0.2">
      <c r="A41" s="12" t="s">
        <v>90</v>
      </c>
      <c r="B41" s="12" t="s">
        <v>337</v>
      </c>
      <c r="C41" s="12" t="s">
        <v>252</v>
      </c>
      <c r="D41" s="12" t="str" cm="1">
        <f t="array" ref="D41">IF(E41="","",_xlfn.LET(
    _xlpm.text,E41,
    _xlpm.split,_xlfn.TEXTSPLIT(_xlpm.text,", "),
    _xlpm.ids,_xlfn.MAP(_xlpm.split,_xlfn.LAMBDA(_xlpm.name,INDEX(Tactics!$A$2:$A$8,MATCH(TRIM(_xlpm.name),Tactics!$B$2:$B$8,0)))),
    _xlfn.TEXTJOIN(", ",TRUE,_xlpm.ids)
))</f>
        <v>FA0002</v>
      </c>
      <c r="E41" s="12" t="s">
        <v>93</v>
      </c>
    </row>
    <row r="42" spans="1:5" ht="192" x14ac:dyDescent="0.2">
      <c r="A42" s="12" t="s">
        <v>91</v>
      </c>
      <c r="B42" s="12" t="s">
        <v>338</v>
      </c>
      <c r="C42" s="12" t="s">
        <v>339</v>
      </c>
      <c r="D42" s="12" t="str" cm="1">
        <f t="array" ref="D42">IF(E42="","",_xlfn.LET(
    _xlpm.text,E42,
    _xlpm.split,_xlfn.TEXTSPLIT(_xlpm.text,", "),
    _xlpm.ids,_xlfn.MAP(_xlpm.split,_xlfn.LAMBDA(_xlpm.name,INDEX(Tactics!$A$2:$A$8,MATCH(TRIM(_xlpm.name),Tactics!$B$2:$B$8,0)))),
    _xlfn.TEXTJOIN(", ",TRUE,_xlpm.ids)
))</f>
        <v>FA0002</v>
      </c>
      <c r="E42" s="12" t="s">
        <v>93</v>
      </c>
    </row>
    <row r="43" spans="1:5" ht="304" x14ac:dyDescent="0.2">
      <c r="A43" s="12" t="s">
        <v>94</v>
      </c>
      <c r="B43" s="12" t="s">
        <v>95</v>
      </c>
      <c r="C43" s="12" t="s">
        <v>349</v>
      </c>
      <c r="D43" s="12" t="str" cm="1">
        <f t="array" ref="D43">IF(E43="","",_xlfn.LET(
    _xlpm.text,E43,
    _xlpm.split,_xlfn.TEXTSPLIT(_xlpm.text,", "),
    _xlpm.ids,_xlfn.MAP(_xlpm.split,_xlfn.LAMBDA(_xlpm.name,INDEX(Tactics!$A$2:$A$8,MATCH(TRIM(_xlpm.name),Tactics!$B$2:$B$8,0)))),
    _xlfn.TEXTJOIN(", ",TRUE,_xlpm.ids)
))</f>
        <v>TA0001, FA0001</v>
      </c>
      <c r="E43" s="12" t="s">
        <v>24</v>
      </c>
    </row>
    <row r="44" spans="1:5" ht="256" x14ac:dyDescent="0.2">
      <c r="A44" s="12" t="s">
        <v>96</v>
      </c>
      <c r="B44" s="12" t="s">
        <v>97</v>
      </c>
      <c r="C44" s="12" t="s">
        <v>273</v>
      </c>
      <c r="D44" s="12" t="str" cm="1">
        <f t="array" ref="D44">IF(E44="","",_xlfn.LET(
    _xlpm.text,E44,
    _xlpm.split,_xlfn.TEXTSPLIT(_xlpm.text,", "),
    _xlpm.ids,_xlfn.MAP(_xlpm.split,_xlfn.LAMBDA(_xlpm.name,INDEX(Tactics!$A$2:$A$8,MATCH(TRIM(_xlpm.name),Tactics!$B$2:$B$8,0)))),
    _xlfn.TEXTJOIN(", ",TRUE,_xlpm.ids)
))</f>
        <v>TA0001</v>
      </c>
      <c r="E44" s="12" t="s">
        <v>27</v>
      </c>
    </row>
    <row r="45" spans="1:5" ht="160" x14ac:dyDescent="0.2">
      <c r="A45" s="12" t="s">
        <v>98</v>
      </c>
      <c r="B45" s="12" t="s">
        <v>99</v>
      </c>
      <c r="C45" s="12" t="s">
        <v>267</v>
      </c>
      <c r="D45" s="12" t="str" cm="1">
        <f t="array" ref="D45">IF(E45="","",_xlfn.LET(
    _xlpm.text,E45,
    _xlpm.split,_xlfn.TEXTSPLIT(_xlpm.text,", "),
    _xlpm.ids,_xlfn.MAP(_xlpm.split,_xlfn.LAMBDA(_xlpm.name,INDEX(Tactics!$A$2:$A$8,MATCH(TRIM(_xlpm.name),Tactics!$B$2:$B$8,0)))),
    _xlfn.TEXTJOIN(", ",TRUE,_xlpm.ids)
))</f>
        <v>TA0001</v>
      </c>
      <c r="E45" s="12" t="s">
        <v>27</v>
      </c>
    </row>
    <row r="46" spans="1:5" ht="192" x14ac:dyDescent="0.2">
      <c r="A46" s="12" t="s">
        <v>100</v>
      </c>
      <c r="B46" s="12" t="s">
        <v>101</v>
      </c>
      <c r="C46" s="12" t="s">
        <v>274</v>
      </c>
      <c r="D46" s="12" t="str" cm="1">
        <f t="array" ref="D46">IF(E46="","",_xlfn.LET(
    _xlpm.text,E46,
    _xlpm.split,_xlfn.TEXTSPLIT(_xlpm.text,", "),
    _xlpm.ids,_xlfn.MAP(_xlpm.split,_xlfn.LAMBDA(_xlpm.name,INDEX(Tactics!$A$2:$A$8,MATCH(TRIM(_xlpm.name),Tactics!$B$2:$B$8,0)))),
    _xlfn.TEXTJOIN(", ",TRUE,_xlpm.ids)
))</f>
        <v>TA0001</v>
      </c>
      <c r="E46" s="12" t="s">
        <v>27</v>
      </c>
    </row>
    <row r="47" spans="1:5" ht="160" x14ac:dyDescent="0.2">
      <c r="A47" s="12" t="s">
        <v>102</v>
      </c>
      <c r="B47" s="12" t="s">
        <v>103</v>
      </c>
      <c r="C47" s="12" t="s">
        <v>268</v>
      </c>
      <c r="D47" s="12" t="str" cm="1">
        <f t="array" ref="D47">IF(E47="","",_xlfn.LET(
    _xlpm.text,E47,
    _xlpm.split,_xlfn.TEXTSPLIT(_xlpm.text,", "),
    _xlpm.ids,_xlfn.MAP(_xlpm.split,_xlfn.LAMBDA(_xlpm.name,INDEX(Tactics!$A$2:$A$8,MATCH(TRIM(_xlpm.name),Tactics!$B$2:$B$8,0)))),
    _xlfn.TEXTJOIN(", ",TRUE,_xlpm.ids)
))</f>
        <v>TA0001</v>
      </c>
      <c r="E47" s="12" t="s">
        <v>27</v>
      </c>
    </row>
    <row r="48" spans="1:5" ht="208" x14ac:dyDescent="0.2">
      <c r="A48" s="12" t="s">
        <v>104</v>
      </c>
      <c r="B48" s="12" t="s">
        <v>105</v>
      </c>
      <c r="C48" s="12" t="s">
        <v>284</v>
      </c>
      <c r="D48" s="12" t="str" cm="1">
        <f t="array" ref="D48">IF(E48="","",_xlfn.LET(
    _xlpm.text,E48,
    _xlpm.split,_xlfn.TEXTSPLIT(_xlpm.text,", "),
    _xlpm.ids,_xlfn.MAP(_xlpm.split,_xlfn.LAMBDA(_xlpm.name,INDEX(Tactics!$A$2:$A$8,MATCH(TRIM(_xlpm.name),Tactics!$B$2:$B$8,0)))),
    _xlfn.TEXTJOIN(", ",TRUE,_xlpm.ids)
))</f>
        <v>TA0001</v>
      </c>
      <c r="E48" s="12" t="s">
        <v>27</v>
      </c>
    </row>
    <row r="49" spans="1:5" ht="64" x14ac:dyDescent="0.2">
      <c r="A49" s="12" t="s">
        <v>106</v>
      </c>
      <c r="B49" s="12" t="s">
        <v>107</v>
      </c>
      <c r="C49" s="12" t="s">
        <v>340</v>
      </c>
      <c r="D49" s="12" t="str" cm="1">
        <f t="array" ref="D49">IF(E49="","",_xlfn.LET(
    _xlpm.text,E49,
    _xlpm.split,_xlfn.TEXTSPLIT(_xlpm.text,", "),
    _xlpm.ids,_xlfn.MAP(_xlpm.split,_xlfn.LAMBDA(_xlpm.name,INDEX(Tactics!$A$2:$A$8,MATCH(TRIM(_xlpm.name),Tactics!$B$2:$B$8,0)))),
    _xlfn.TEXTJOIN(", ",TRUE,_xlpm.ids)
))</f>
        <v>FA0002</v>
      </c>
      <c r="E49" s="12" t="s">
        <v>93</v>
      </c>
    </row>
    <row r="50" spans="1:5" ht="80" x14ac:dyDescent="0.2">
      <c r="A50" s="12" t="s">
        <v>108</v>
      </c>
      <c r="B50" s="12" t="s">
        <v>109</v>
      </c>
      <c r="C50" s="12" t="s">
        <v>298</v>
      </c>
      <c r="D50" s="12" t="str" cm="1">
        <f t="array" ref="D50">IF(E50="","",_xlfn.LET(
    _xlpm.text,E50,
    _xlpm.split,_xlfn.TEXTSPLIT(_xlpm.text,", "),
    _xlpm.ids,_xlfn.MAP(_xlpm.split,_xlfn.LAMBDA(_xlpm.name,INDEX(Tactics!$A$2:$A$8,MATCH(TRIM(_xlpm.name),Tactics!$B$2:$B$8,0)))),
    _xlfn.TEXTJOIN(", ",TRUE,_xlpm.ids)
))</f>
        <v>FA0001, TA0043</v>
      </c>
      <c r="E50" s="12" t="s">
        <v>330</v>
      </c>
    </row>
    <row r="51" spans="1:5" ht="80" x14ac:dyDescent="0.2">
      <c r="A51" s="12" t="s">
        <v>110</v>
      </c>
      <c r="B51" s="12" t="s">
        <v>111</v>
      </c>
      <c r="C51" s="12" t="s">
        <v>299</v>
      </c>
      <c r="D51" s="12" t="str" cm="1">
        <f t="array" ref="D51">IF(E51="","",_xlfn.LET(
    _xlpm.text,E51,
    _xlpm.split,_xlfn.TEXTSPLIT(_xlpm.text,", "),
    _xlpm.ids,_xlfn.MAP(_xlpm.split,_xlfn.LAMBDA(_xlpm.name,INDEX(Tactics!$A$2:$A$8,MATCH(TRIM(_xlpm.name),Tactics!$B$2:$B$8,0)))),
    _xlfn.TEXTJOIN(", ",TRUE,_xlpm.ids)
))</f>
        <v>FA0001</v>
      </c>
      <c r="E51" s="12" t="s">
        <v>13</v>
      </c>
    </row>
    <row r="52" spans="1:5" ht="96" x14ac:dyDescent="0.2">
      <c r="A52" s="12" t="s">
        <v>113</v>
      </c>
      <c r="B52" s="12" t="s">
        <v>114</v>
      </c>
      <c r="C52" s="12" t="s">
        <v>360</v>
      </c>
      <c r="D52" s="12" t="str" cm="1">
        <f t="array" ref="D52">IF(E52="","",_xlfn.LET(
    _xlpm.text,E52,
    _xlpm.split,_xlfn.TEXTSPLIT(_xlpm.text,", "),
    _xlpm.ids,_xlfn.MAP(_xlpm.split,_xlfn.LAMBDA(_xlpm.name,INDEX(Tactics!$A$2:$A$8,MATCH(TRIM(_xlpm.name),Tactics!$B$2:$B$8,0)))),
    _xlfn.TEXTJOIN(", ",TRUE,_xlpm.ids)
))</f>
        <v>FA0001</v>
      </c>
      <c r="E52" s="12" t="s">
        <v>13</v>
      </c>
    </row>
    <row r="53" spans="1:5" ht="64" x14ac:dyDescent="0.2">
      <c r="A53" s="12" t="s">
        <v>115</v>
      </c>
      <c r="B53" s="12" t="s">
        <v>361</v>
      </c>
      <c r="C53" s="12" t="s">
        <v>354</v>
      </c>
      <c r="D53" s="12" t="str" cm="1">
        <f t="array" ref="D53">IF(E53="","",_xlfn.LET(
    _xlpm.text,E53,
    _xlpm.split,_xlfn.TEXTSPLIT(_xlpm.text,", "),
    _xlpm.ids,_xlfn.MAP(_xlpm.split,_xlfn.LAMBDA(_xlpm.name,INDEX(Tactics!$A$2:$A$8,MATCH(TRIM(_xlpm.name),Tactics!$B$2:$B$8,0)))),
    _xlfn.TEXTJOIN(", ",TRUE,_xlpm.ids)
))</f>
        <v>TA0002</v>
      </c>
      <c r="E53" s="12" t="s">
        <v>23</v>
      </c>
    </row>
    <row r="54" spans="1:5" ht="80" x14ac:dyDescent="0.2">
      <c r="A54" s="12" t="s">
        <v>116</v>
      </c>
      <c r="B54" s="12" t="s">
        <v>117</v>
      </c>
      <c r="C54" s="12" t="s">
        <v>355</v>
      </c>
      <c r="D54" s="12" t="str" cm="1">
        <f t="array" ref="D54">IF(E54="","",_xlfn.LET(
    _xlpm.text,E54,
    _xlpm.split,_xlfn.TEXTSPLIT(_xlpm.text,", "),
    _xlpm.ids,_xlfn.MAP(_xlpm.split,_xlfn.LAMBDA(_xlpm.name,INDEX(Tactics!$A$2:$A$8,MATCH(TRIM(_xlpm.name),Tactics!$B$2:$B$8,0)))),
    _xlfn.TEXTJOIN(", ",TRUE,_xlpm.ids)
))</f>
        <v>TA0002</v>
      </c>
      <c r="E54" s="12" t="s">
        <v>23</v>
      </c>
    </row>
    <row r="55" spans="1:5" ht="224" x14ac:dyDescent="0.2">
      <c r="A55" s="12" t="s">
        <v>118</v>
      </c>
      <c r="B55" s="12" t="s">
        <v>119</v>
      </c>
      <c r="C55" s="12" t="s">
        <v>356</v>
      </c>
      <c r="D55" s="12" t="str" cm="1">
        <f t="array" ref="D55">IF(E55="","",_xlfn.LET(
    _xlpm.text,E55,
    _xlpm.split,_xlfn.TEXTSPLIT(_xlpm.text,", "),
    _xlpm.ids,_xlfn.MAP(_xlpm.split,_xlfn.LAMBDA(_xlpm.name,INDEX(Tactics!$A$2:$A$8,MATCH(TRIM(_xlpm.name),Tactics!$B$2:$B$8,0)))),
    _xlfn.TEXTJOIN(", ",TRUE,_xlpm.ids)
))</f>
        <v>TA0002</v>
      </c>
      <c r="E55" s="12" t="s">
        <v>23</v>
      </c>
    </row>
    <row r="56" spans="1:5" ht="320" x14ac:dyDescent="0.2">
      <c r="A56" s="12" t="s">
        <v>120</v>
      </c>
      <c r="B56" s="12" t="s">
        <v>121</v>
      </c>
      <c r="C56" s="12" t="s">
        <v>357</v>
      </c>
      <c r="D56" s="12" t="str" cm="1">
        <f t="array" ref="D56">IF(E56="","",_xlfn.LET(
    _xlpm.text,E56,
    _xlpm.split,_xlfn.TEXTSPLIT(_xlpm.text,", "),
    _xlpm.ids,_xlfn.MAP(_xlpm.split,_xlfn.LAMBDA(_xlpm.name,INDEX(Tactics!$A$2:$A$8,MATCH(TRIM(_xlpm.name),Tactics!$B$2:$B$8,0)))),
    _xlfn.TEXTJOIN(", ",TRUE,_xlpm.ids)
))</f>
        <v>TA0042</v>
      </c>
      <c r="E56" s="12" t="s">
        <v>57</v>
      </c>
    </row>
    <row r="57" spans="1:5" ht="288" x14ac:dyDescent="0.2">
      <c r="A57" s="12" t="s">
        <v>122</v>
      </c>
      <c r="B57" s="12" t="s">
        <v>123</v>
      </c>
      <c r="C57" s="12" t="s">
        <v>358</v>
      </c>
      <c r="D57" s="12" t="str" cm="1">
        <f t="array" ref="D57">IF(E57="","",_xlfn.LET(
    _xlpm.text,E57,
    _xlpm.split,_xlfn.TEXTSPLIT(_xlpm.text,", "),
    _xlpm.ids,_xlfn.MAP(_xlpm.split,_xlfn.LAMBDA(_xlpm.name,INDEX(Tactics!$A$2:$A$8,MATCH(TRIM(_xlpm.name),Tactics!$B$2:$B$8,0)))),
    _xlfn.TEXTJOIN(", ",TRUE,_xlpm.ids)
))</f>
        <v>TA0042</v>
      </c>
      <c r="E57" s="12" t="s">
        <v>57</v>
      </c>
    </row>
    <row r="58" spans="1:5" ht="320" x14ac:dyDescent="0.2">
      <c r="A58" s="12" t="s">
        <v>124</v>
      </c>
      <c r="B58" s="12" t="s">
        <v>125</v>
      </c>
      <c r="C58" s="12" t="s">
        <v>332</v>
      </c>
      <c r="D58" s="12" t="str" cm="1">
        <f t="array" ref="D58">IF(E58="","",_xlfn.LET(
    _xlpm.text,E58,
    _xlpm.split,_xlfn.TEXTSPLIT(_xlpm.text,", "),
    _xlpm.ids,_xlfn.MAP(_xlpm.split,_xlfn.LAMBDA(_xlpm.name,INDEX(Tactics!$A$2:$A$8,MATCH(TRIM(_xlpm.name),Tactics!$B$2:$B$8,0)))),
    _xlfn.TEXTJOIN(", ",TRUE,_xlpm.ids)
))</f>
        <v>TA0042</v>
      </c>
      <c r="E58" s="12" t="s">
        <v>57</v>
      </c>
    </row>
    <row r="59" spans="1:5" ht="272" x14ac:dyDescent="0.2">
      <c r="A59" s="12" t="s">
        <v>126</v>
      </c>
      <c r="B59" s="12" t="s">
        <v>127</v>
      </c>
      <c r="C59" s="12" t="s">
        <v>285</v>
      </c>
      <c r="D59" s="12" t="str" cm="1">
        <f t="array" ref="D59">IF(E59="","",_xlfn.LET(
    _xlpm.text,E59,
    _xlpm.split,_xlfn.TEXTSPLIT(_xlpm.text,", "),
    _xlpm.ids,_xlfn.MAP(_xlpm.split,_xlfn.LAMBDA(_xlpm.name,INDEX(Tactics!$A$2:$A$8,MATCH(TRIM(_xlpm.name),Tactics!$B$2:$B$8,0)))),
    _xlfn.TEXTJOIN(", ",TRUE,_xlpm.ids)
))</f>
        <v>TA0042</v>
      </c>
      <c r="E59" s="12" t="s">
        <v>57</v>
      </c>
    </row>
    <row r="60" spans="1:5" ht="365" x14ac:dyDescent="0.2">
      <c r="A60" s="12" t="s">
        <v>128</v>
      </c>
      <c r="B60" s="12" t="s">
        <v>129</v>
      </c>
      <c r="C60" s="12" t="s">
        <v>331</v>
      </c>
      <c r="D60" s="12" t="str" cm="1">
        <f t="array" ref="D60">IF(E60="","",_xlfn.LET(
    _xlpm.text,E60,
    _xlpm.split,_xlfn.TEXTSPLIT(_xlpm.text,", "),
    _xlpm.ids,_xlfn.MAP(_xlpm.split,_xlfn.LAMBDA(_xlpm.name,INDEX(Tactics!$A$2:$A$8,MATCH(TRIM(_xlpm.name),Tactics!$B$2:$B$8,0)))),
    _xlfn.TEXTJOIN(", ",TRUE,_xlpm.ids)
))</f>
        <v>TA0042</v>
      </c>
      <c r="E60" s="12" t="s">
        <v>57</v>
      </c>
    </row>
    <row r="61" spans="1:5" ht="192" x14ac:dyDescent="0.2">
      <c r="A61" s="12" t="s">
        <v>130</v>
      </c>
      <c r="B61" s="12" t="s">
        <v>131</v>
      </c>
      <c r="C61" s="12" t="s">
        <v>311</v>
      </c>
      <c r="D61" s="12" t="str" cm="1">
        <f t="array" ref="D61">IF(E61="","",_xlfn.LET(
    _xlpm.text,E61,
    _xlpm.split,_xlfn.TEXTSPLIT(_xlpm.text,", "),
    _xlpm.ids,_xlfn.MAP(_xlpm.split,_xlfn.LAMBDA(_xlpm.name,INDEX(Tactics!$A$2:$A$8,MATCH(TRIM(_xlpm.name),Tactics!$B$2:$B$8,0)))),
    _xlfn.TEXTJOIN(", ",TRUE,_xlpm.ids)
))</f>
        <v>TA0001</v>
      </c>
      <c r="E61" s="12" t="s">
        <v>27</v>
      </c>
    </row>
    <row r="62" spans="1:5" ht="64" x14ac:dyDescent="0.2">
      <c r="A62" s="12" t="s">
        <v>112</v>
      </c>
      <c r="B62" s="12" t="s">
        <v>227</v>
      </c>
      <c r="C62" s="12" t="s">
        <v>228</v>
      </c>
      <c r="D62" s="12" t="str" cm="1">
        <f t="array" ref="D62">IF(E62="","",_xlfn.LET(
    _xlpm.text,E62,
    _xlpm.split,_xlfn.TEXTSPLIT(_xlpm.text,", "),
    _xlpm.ids,_xlfn.MAP(_xlpm.split,_xlfn.LAMBDA(_xlpm.name,INDEX(Tactics!$A$2:$A$8,MATCH(TRIM(_xlpm.name),Tactics!$B$2:$B$8,0)))),
    _xlfn.TEXTJOIN(", ",TRUE,_xlpm.ids)
))</f>
        <v>FA0002</v>
      </c>
      <c r="E62" s="12" t="s">
        <v>93</v>
      </c>
    </row>
    <row r="63" spans="1:5" ht="64" x14ac:dyDescent="0.2">
      <c r="A63" s="12" t="s">
        <v>132</v>
      </c>
      <c r="B63" s="12" t="s">
        <v>133</v>
      </c>
      <c r="C63" s="12" t="s">
        <v>223</v>
      </c>
      <c r="D63" s="12" t="str" cm="1">
        <f t="array" ref="D63">IF(E63="","",_xlfn.LET(
    _xlpm.text,E63,
    _xlpm.split,_xlfn.TEXTSPLIT(_xlpm.text,", "),
    _xlpm.ids,_xlfn.MAP(_xlpm.split,_xlfn.LAMBDA(_xlpm.name,INDEX(Tactics!$A$2:$A$8,MATCH(TRIM(_xlpm.name),Tactics!$B$2:$B$8,0)))),
    _xlfn.TEXTJOIN(", ",TRUE,_xlpm.ids)
))</f>
        <v>TA0042</v>
      </c>
      <c r="E63" s="12" t="s">
        <v>57</v>
      </c>
    </row>
    <row r="64" spans="1:5" ht="80" x14ac:dyDescent="0.2">
      <c r="A64" s="12" t="s">
        <v>134</v>
      </c>
      <c r="B64" s="12" t="s">
        <v>135</v>
      </c>
      <c r="C64" s="12" t="s">
        <v>253</v>
      </c>
      <c r="D64" s="12" t="str" cm="1">
        <f t="array" ref="D64">IF(E64="","",_xlfn.LET(
    _xlpm.text,E64,
    _xlpm.split,_xlfn.TEXTSPLIT(_xlpm.text,", "),
    _xlpm.ids,_xlfn.MAP(_xlpm.split,_xlfn.LAMBDA(_xlpm.name,INDEX(Tactics!$A$2:$A$8,MATCH(TRIM(_xlpm.name),Tactics!$B$2:$B$8,0)))),
    _xlfn.TEXTJOIN(", ",TRUE,_xlpm.ids)
))</f>
        <v>TA0042</v>
      </c>
      <c r="E64" s="12" t="s">
        <v>57</v>
      </c>
    </row>
    <row r="65" spans="1:5" ht="112" x14ac:dyDescent="0.2">
      <c r="A65" s="12" t="s">
        <v>314</v>
      </c>
      <c r="B65" s="12" t="s">
        <v>136</v>
      </c>
      <c r="C65" s="12" t="s">
        <v>326</v>
      </c>
      <c r="D65" s="12" t="str" cm="1">
        <f t="array" ref="D65">IF(E65="","",_xlfn.LET(
    _xlpm.text,E65,
    _xlpm.split,_xlfn.TEXTSPLIT(_xlpm.text,", "),
    _xlpm.ids,_xlfn.MAP(_xlpm.split,_xlfn.LAMBDA(_xlpm.name,INDEX(Tactics!$A$2:$A$8,MATCH(TRIM(_xlpm.name),Tactics!$B$2:$B$8,0)))),
    _xlfn.TEXTJOIN(", ",TRUE,_xlpm.ids)
))</f>
        <v>TA0042</v>
      </c>
      <c r="E65" s="12" t="s">
        <v>57</v>
      </c>
    </row>
    <row r="66" spans="1:5" ht="176" x14ac:dyDescent="0.2">
      <c r="A66" s="12" t="s">
        <v>315</v>
      </c>
      <c r="B66" s="12" t="s">
        <v>318</v>
      </c>
      <c r="C66" s="12" t="s">
        <v>319</v>
      </c>
      <c r="D66" s="12" t="str" cm="1">
        <f t="array" ref="D66">IF(E66="","",_xlfn.LET(
    _xlpm.text,E66,
    _xlpm.split,_xlfn.TEXTSPLIT(_xlpm.text,", "),
    _xlpm.ids,_xlfn.MAP(_xlpm.split,_xlfn.LAMBDA(_xlpm.name,INDEX(Tactics!$A$2:$A$8,MATCH(TRIM(_xlpm.name),Tactics!$B$2:$B$8,0)))),
    _xlfn.TEXTJOIN(", ",TRUE,_xlpm.ids)
))</f>
        <v>TA0042</v>
      </c>
      <c r="E66" s="12" t="s">
        <v>57</v>
      </c>
    </row>
    <row r="67" spans="1:5" ht="96" x14ac:dyDescent="0.2">
      <c r="A67" s="12" t="s">
        <v>138</v>
      </c>
      <c r="B67" s="12" t="s">
        <v>139</v>
      </c>
      <c r="C67" s="12" t="s">
        <v>254</v>
      </c>
      <c r="D67" s="12" t="str" cm="1">
        <f t="array" ref="D67">IF(E67="","",_xlfn.LET(
    _xlpm.text,E67,
    _xlpm.split,_xlfn.TEXTSPLIT(_xlpm.text,", "),
    _xlpm.ids,_xlfn.MAP(_xlpm.split,_xlfn.LAMBDA(_xlpm.name,INDEX(Tactics!$A$2:$A$8,MATCH(TRIM(_xlpm.name),Tactics!$B$2:$B$8,0)))),
    _xlfn.TEXTJOIN(", ",TRUE,_xlpm.ids)
))</f>
        <v>TA0043</v>
      </c>
      <c r="E67" s="6" t="s">
        <v>163</v>
      </c>
    </row>
    <row r="68" spans="1:5" ht="64" x14ac:dyDescent="0.2">
      <c r="A68" s="12" t="s">
        <v>140</v>
      </c>
      <c r="B68" s="12" t="s">
        <v>141</v>
      </c>
      <c r="C68" s="12" t="s">
        <v>300</v>
      </c>
      <c r="D68" s="12" t="str" cm="1">
        <f t="array" ref="D68">IF(E68="","",_xlfn.LET(
    _xlpm.text,E68,
    _xlpm.split,_xlfn.TEXTSPLIT(_xlpm.text,", "),
    _xlpm.ids,_xlfn.MAP(_xlpm.split,_xlfn.LAMBDA(_xlpm.name,INDEX(Tactics!$A$2:$A$8,MATCH(TRIM(_xlpm.name),Tactics!$B$2:$B$8,0)))),
    _xlfn.TEXTJOIN(", ",TRUE,_xlpm.ids)
))</f>
        <v>TA0043</v>
      </c>
      <c r="E68" s="6" t="s">
        <v>163</v>
      </c>
    </row>
    <row r="69" spans="1:5" ht="80" x14ac:dyDescent="0.2">
      <c r="A69" s="12" t="s">
        <v>142</v>
      </c>
      <c r="B69" s="12" t="s">
        <v>143</v>
      </c>
      <c r="C69" s="12" t="s">
        <v>255</v>
      </c>
      <c r="D69" s="12" t="str" cm="1">
        <f t="array" ref="D69">IF(E69="","",_xlfn.LET(
    _xlpm.text,E69,
    _xlpm.split,_xlfn.TEXTSPLIT(_xlpm.text,", "),
    _xlpm.ids,_xlfn.MAP(_xlpm.split,_xlfn.LAMBDA(_xlpm.name,INDEX(Tactics!$A$2:$A$8,MATCH(TRIM(_xlpm.name),Tactics!$B$2:$B$8,0)))),
    _xlfn.TEXTJOIN(", ",TRUE,_xlpm.ids)
))</f>
        <v>TA0043</v>
      </c>
      <c r="E69" s="6" t="s">
        <v>163</v>
      </c>
    </row>
    <row r="70" spans="1:5" ht="80" x14ac:dyDescent="0.2">
      <c r="A70" s="12" t="s">
        <v>144</v>
      </c>
      <c r="B70" s="12" t="s">
        <v>145</v>
      </c>
      <c r="C70" s="12" t="s">
        <v>229</v>
      </c>
      <c r="D70" s="12" t="str" cm="1">
        <f t="array" ref="D70">IF(E70="","",_xlfn.LET(
    _xlpm.text,E70,
    _xlpm.split,_xlfn.TEXTSPLIT(_xlpm.text,", "),
    _xlpm.ids,_xlfn.MAP(_xlpm.split,_xlfn.LAMBDA(_xlpm.name,INDEX(Tactics!$A$2:$A$8,MATCH(TRIM(_xlpm.name),Tactics!$B$2:$B$8,0)))),
    _xlfn.TEXTJOIN(", ",TRUE,_xlpm.ids)
))</f>
        <v>TA0005</v>
      </c>
      <c r="E70" s="12" t="s">
        <v>9</v>
      </c>
    </row>
    <row r="71" spans="1:5" ht="96" x14ac:dyDescent="0.2">
      <c r="A71" s="12" t="s">
        <v>146</v>
      </c>
      <c r="B71" s="12" t="s">
        <v>147</v>
      </c>
      <c r="C71" s="12" t="s">
        <v>301</v>
      </c>
      <c r="D71" s="12" t="str" cm="1">
        <f t="array" ref="D71">IF(E71="","",_xlfn.LET(
    _xlpm.text,E71,
    _xlpm.split,_xlfn.TEXTSPLIT(_xlpm.text,", "),
    _xlpm.ids,_xlfn.MAP(_xlpm.split,_xlfn.LAMBDA(_xlpm.name,INDEX(Tactics!$A$2:$A$8,MATCH(TRIM(_xlpm.name),Tactics!$B$2:$B$8,0)))),
    _xlfn.TEXTJOIN(", ",TRUE,_xlpm.ids)
))</f>
        <v>TA0005</v>
      </c>
      <c r="E71" s="12" t="s">
        <v>9</v>
      </c>
    </row>
    <row r="72" spans="1:5" ht="288" x14ac:dyDescent="0.2">
      <c r="A72" s="12" t="s">
        <v>148</v>
      </c>
      <c r="B72" s="12" t="s">
        <v>149</v>
      </c>
      <c r="C72" s="12" t="s">
        <v>275</v>
      </c>
      <c r="D72" s="12" t="str" cm="1">
        <f t="array" ref="D72">IF(E72="","",_xlfn.LET(
    _xlpm.text,E72,
    _xlpm.split,_xlfn.TEXTSPLIT(_xlpm.text,", "),
    _xlpm.ids,_xlfn.MAP(_xlpm.split,_xlfn.LAMBDA(_xlpm.name,INDEX(Tactics!$A$2:$A$8,MATCH(TRIM(_xlpm.name),Tactics!$B$2:$B$8,0)))),
    _xlfn.TEXTJOIN(", ",TRUE,_xlpm.ids)
))</f>
        <v>TA0001</v>
      </c>
      <c r="E72" s="12" t="s">
        <v>27</v>
      </c>
    </row>
    <row r="73" spans="1:5" ht="176" x14ac:dyDescent="0.2">
      <c r="A73" s="12" t="s">
        <v>151</v>
      </c>
      <c r="B73" s="12" t="s">
        <v>152</v>
      </c>
      <c r="C73" s="12" t="s">
        <v>269</v>
      </c>
      <c r="D73" s="12" t="str" cm="1">
        <f t="array" ref="D73">IF(E73="","",_xlfn.LET(
    _xlpm.text,E73,
    _xlpm.split,_xlfn.TEXTSPLIT(_xlpm.text,", "),
    _xlpm.ids,_xlfn.MAP(_xlpm.split,_xlfn.LAMBDA(_xlpm.name,INDEX(Tactics!$A$2:$A$8,MATCH(TRIM(_xlpm.name),Tactics!$B$2:$B$8,0)))),
    _xlfn.TEXTJOIN(", ",TRUE,_xlpm.ids)
))</f>
        <v>TA0005</v>
      </c>
      <c r="E73" s="12" t="s">
        <v>9</v>
      </c>
    </row>
    <row r="74" spans="1:5" ht="176" x14ac:dyDescent="0.2">
      <c r="A74" s="12" t="s">
        <v>153</v>
      </c>
      <c r="B74" s="12" t="s">
        <v>154</v>
      </c>
      <c r="C74" s="12" t="s">
        <v>362</v>
      </c>
      <c r="D74" s="12" t="str" cm="1">
        <f t="array" ref="D74">IF(E74="","",_xlfn.LET(
    _xlpm.text,E74,
    _xlpm.split,_xlfn.TEXTSPLIT(_xlpm.text,", "),
    _xlpm.ids,_xlfn.MAP(_xlpm.split,_xlfn.LAMBDA(_xlpm.name,INDEX(Tactics!$A$2:$A$8,MATCH(TRIM(_xlpm.name),Tactics!$B$2:$B$8,0)))),
    _xlfn.TEXTJOIN(", ",TRUE,_xlpm.ids)
))</f>
        <v>TA0005</v>
      </c>
      <c r="E74" s="12" t="s">
        <v>9</v>
      </c>
    </row>
    <row r="75" spans="1:5" ht="288" x14ac:dyDescent="0.2">
      <c r="A75" s="12" t="s">
        <v>155</v>
      </c>
      <c r="B75" s="12" t="s">
        <v>156</v>
      </c>
      <c r="C75" s="12" t="s">
        <v>302</v>
      </c>
      <c r="D75" s="12" t="str" cm="1">
        <f t="array" ref="D75">IF(E75="","",_xlfn.LET(
    _xlpm.text,E75,
    _xlpm.split,_xlfn.TEXTSPLIT(_xlpm.text,", "),
    _xlpm.ids,_xlfn.MAP(_xlpm.split,_xlfn.LAMBDA(_xlpm.name,INDEX(Tactics!$A$2:$A$8,MATCH(TRIM(_xlpm.name),Tactics!$B$2:$B$8,0)))),
    _xlfn.TEXTJOIN(", ",TRUE,_xlpm.ids)
))</f>
        <v>TA0042</v>
      </c>
      <c r="E75" s="12" t="s">
        <v>57</v>
      </c>
    </row>
    <row r="76" spans="1:5" ht="80" x14ac:dyDescent="0.2">
      <c r="A76" s="12" t="s">
        <v>157</v>
      </c>
      <c r="B76" s="12" t="s">
        <v>158</v>
      </c>
      <c r="C76" s="12" t="s">
        <v>265</v>
      </c>
      <c r="D76" s="12" t="str" cm="1">
        <f t="array" ref="D76">IF(E76="","",_xlfn.LET(
    _xlpm.text,E76,
    _xlpm.split,_xlfn.TEXTSPLIT(_xlpm.text,", "),
    _xlpm.ids,_xlfn.MAP(_xlpm.split,_xlfn.LAMBDA(_xlpm.name,INDEX(Tactics!$A$2:$A$8,MATCH(TRIM(_xlpm.name),Tactics!$B$2:$B$8,0)))),
    _xlfn.TEXTJOIN(", ",TRUE,_xlpm.ids)
))</f>
        <v>TA0042</v>
      </c>
      <c r="E76" s="12" t="s">
        <v>57</v>
      </c>
    </row>
    <row r="77" spans="1:5" ht="350" x14ac:dyDescent="0.2">
      <c r="A77" s="12" t="s">
        <v>159</v>
      </c>
      <c r="B77" s="12" t="s">
        <v>160</v>
      </c>
      <c r="C77" s="12" t="s">
        <v>303</v>
      </c>
      <c r="D77" s="12" t="str" cm="1">
        <f t="array" ref="D77">IF(E77="","",_xlfn.LET(
    _xlpm.text,E77,
    _xlpm.split,_xlfn.TEXTSPLIT(_xlpm.text,", "),
    _xlpm.ids,_xlfn.MAP(_xlpm.split,_xlfn.LAMBDA(_xlpm.name,INDEX(Tactics!$A$2:$A$8,MATCH(TRIM(_xlpm.name),Tactics!$B$2:$B$8,0)))),
    _xlfn.TEXTJOIN(", ",TRUE,_xlpm.ids)
))</f>
        <v>TA0002, FA0002</v>
      </c>
      <c r="E77" s="12" t="s">
        <v>327</v>
      </c>
    </row>
    <row r="78" spans="1:5" ht="224" x14ac:dyDescent="0.2">
      <c r="A78" s="12" t="s">
        <v>161</v>
      </c>
      <c r="B78" s="12" t="s">
        <v>364</v>
      </c>
      <c r="C78" s="12" t="s">
        <v>363</v>
      </c>
      <c r="D78" s="12" t="str" cm="1">
        <f t="array" ref="D78">IF(E78="","",_xlfn.LET(
    _xlpm.text,E78,
    _xlpm.split,_xlfn.TEXTSPLIT(_xlpm.text,", "),
    _xlpm.ids,_xlfn.MAP(_xlpm.split,_xlfn.LAMBDA(_xlpm.name,INDEX(Tactics!$A$2:$A$8,MATCH(TRIM(_xlpm.name),Tactics!$B$2:$B$8,0)))),
    _xlfn.TEXTJOIN(", ",TRUE,_xlpm.ids)
))</f>
        <v>TA0043</v>
      </c>
      <c r="E78" s="12" t="s">
        <v>163</v>
      </c>
    </row>
    <row r="79" spans="1:5" ht="192" x14ac:dyDescent="0.2">
      <c r="A79" s="12" t="s">
        <v>366</v>
      </c>
      <c r="B79" s="12" t="s">
        <v>365</v>
      </c>
      <c r="C79" s="12" t="s">
        <v>367</v>
      </c>
      <c r="D79" s="12" t="str" cm="1">
        <f t="array" ref="D79">IF(E79="","",_xlfn.LET(
    _xlpm.text,E79,
    _xlpm.split,_xlfn.TEXTSPLIT(_xlpm.text,", "),
    _xlpm.ids,_xlfn.MAP(_xlpm.split,_xlfn.LAMBDA(_xlpm.name,INDEX(Tactics!$A$2:$A$8,MATCH(TRIM(_xlpm.name),Tactics!$B$2:$B$8,0)))),
    _xlfn.TEXTJOIN(", ",TRUE,_xlpm.ids)
))</f>
        <v>TA0043</v>
      </c>
      <c r="E79" s="12" t="s">
        <v>163</v>
      </c>
    </row>
    <row r="80" spans="1:5" ht="192" x14ac:dyDescent="0.2">
      <c r="A80" s="12" t="s">
        <v>368</v>
      </c>
      <c r="B80" s="12" t="s">
        <v>370</v>
      </c>
      <c r="C80" s="12" t="s">
        <v>372</v>
      </c>
      <c r="D80" s="12" t="str" cm="1">
        <f t="array" ref="D80">IF(E80="","",_xlfn.LET(
    _xlpm.text,E80,
    _xlpm.split,_xlfn.TEXTSPLIT(_xlpm.text,", "),
    _xlpm.ids,_xlfn.MAP(_xlpm.split,_xlfn.LAMBDA(_xlpm.name,INDEX(Tactics!$A$2:$A$8,MATCH(TRIM(_xlpm.name),Tactics!$B$2:$B$8,0)))),
    _xlfn.TEXTJOIN(", ",TRUE,_xlpm.ids)
))</f>
        <v>TA0043</v>
      </c>
      <c r="E80" s="12" t="s">
        <v>163</v>
      </c>
    </row>
    <row r="81" spans="1:5" ht="176" x14ac:dyDescent="0.2">
      <c r="A81" s="12" t="s">
        <v>369</v>
      </c>
      <c r="B81" s="12" t="s">
        <v>371</v>
      </c>
      <c r="C81" s="12" t="s">
        <v>373</v>
      </c>
      <c r="D81" s="12" t="str" cm="1">
        <f t="array" ref="D81">IF(E81="","",_xlfn.LET(
    _xlpm.text,E81,
    _xlpm.split,_xlfn.TEXTSPLIT(_xlpm.text,", "),
    _xlpm.ids,_xlfn.MAP(_xlpm.split,_xlfn.LAMBDA(_xlpm.name,INDEX(Tactics!$A$2:$A$8,MATCH(TRIM(_xlpm.name),Tactics!$B$2:$B$8,0)))),
    _xlfn.TEXTJOIN(", ",TRUE,_xlpm.ids)
))</f>
        <v>TA0043</v>
      </c>
      <c r="E81" s="12" t="s">
        <v>163</v>
      </c>
    </row>
    <row r="82" spans="1:5" ht="80" x14ac:dyDescent="0.2">
      <c r="A82" s="12" t="s">
        <v>164</v>
      </c>
      <c r="B82" s="12" t="s">
        <v>165</v>
      </c>
      <c r="C82" s="12" t="s">
        <v>304</v>
      </c>
      <c r="D82" s="12" t="str" cm="1">
        <f t="array" ref="D82">IF(E82="","",_xlfn.LET(
    _xlpm.text,E82,
    _xlpm.split,_xlfn.TEXTSPLIT(_xlpm.text,", "),
    _xlpm.ids,_xlfn.MAP(_xlpm.split,_xlfn.LAMBDA(_xlpm.name,INDEX(Tactics!$A$2:$A$8,MATCH(TRIM(_xlpm.name),Tactics!$B$2:$B$8,0)))),
    _xlfn.TEXTJOIN(", ",TRUE,_xlpm.ids)
))</f>
        <v>TA0005</v>
      </c>
      <c r="E82" s="12" t="s">
        <v>9</v>
      </c>
    </row>
    <row r="83" spans="1:5" ht="160" x14ac:dyDescent="0.2">
      <c r="A83" s="12" t="s">
        <v>166</v>
      </c>
      <c r="B83" s="12" t="s">
        <v>375</v>
      </c>
      <c r="C83" s="12" t="s">
        <v>374</v>
      </c>
      <c r="D83" s="12" t="str" cm="1">
        <f t="array" ref="D83">IF(E83="","",_xlfn.LET(
    _xlpm.text,E83,
    _xlpm.split,_xlfn.TEXTSPLIT(_xlpm.text,", "),
    _xlpm.ids,_xlfn.MAP(_xlpm.split,_xlfn.LAMBDA(_xlpm.name,INDEX(Tactics!$A$2:$A$8,MATCH(TRIM(_xlpm.name),Tactics!$B$2:$B$8,0)))),
    _xlfn.TEXTJOIN(", ",TRUE,_xlpm.ids)
))</f>
        <v>TA0042</v>
      </c>
      <c r="E83" s="12" t="s">
        <v>57</v>
      </c>
    </row>
    <row r="84" spans="1:5" ht="80" x14ac:dyDescent="0.2">
      <c r="A84" s="12" t="s">
        <v>167</v>
      </c>
      <c r="B84" s="12" t="s">
        <v>168</v>
      </c>
      <c r="C84" s="12" t="s">
        <v>264</v>
      </c>
      <c r="D84" s="12" t="str" cm="1">
        <f t="array" ref="D84">IF(E84="","",_xlfn.LET(
    _xlpm.text,E84,
    _xlpm.split,_xlfn.TEXTSPLIT(_xlpm.text,", "),
    _xlpm.ids,_xlfn.MAP(_xlpm.split,_xlfn.LAMBDA(_xlpm.name,INDEX(Tactics!$A$2:$A$8,MATCH(TRIM(_xlpm.name),Tactics!$B$2:$B$8,0)))),
    _xlfn.TEXTJOIN(", ",TRUE,_xlpm.ids)
))</f>
        <v>TA0001, TA0005</v>
      </c>
      <c r="E84" s="12" t="s">
        <v>233</v>
      </c>
    </row>
    <row r="85" spans="1:5" ht="80" x14ac:dyDescent="0.2">
      <c r="A85" s="12" t="s">
        <v>169</v>
      </c>
      <c r="B85" s="12" t="s">
        <v>170</v>
      </c>
      <c r="C85" s="12" t="s">
        <v>286</v>
      </c>
      <c r="D85" s="12" t="str" cm="1">
        <f t="array" ref="D85">IF(E85="","",_xlfn.LET(
    _xlpm.text,E85,
    _xlpm.split,_xlfn.TEXTSPLIT(_xlpm.text,", "),
    _xlpm.ids,_xlfn.MAP(_xlpm.split,_xlfn.LAMBDA(_xlpm.name,INDEX(Tactics!$A$2:$A$8,MATCH(TRIM(_xlpm.name),Tactics!$B$2:$B$8,0)))),
    _xlfn.TEXTJOIN(", ",TRUE,_xlpm.ids)
))</f>
        <v>TA0001, TA0005</v>
      </c>
      <c r="E85" s="12" t="s">
        <v>233</v>
      </c>
    </row>
    <row r="86" spans="1:5" ht="176" x14ac:dyDescent="0.2">
      <c r="A86" s="12" t="s">
        <v>171</v>
      </c>
      <c r="B86" s="12" t="s">
        <v>172</v>
      </c>
      <c r="C86" s="12" t="s">
        <v>270</v>
      </c>
      <c r="D86" s="12" t="str" cm="1">
        <f t="array" ref="D86">IF(E86="","",_xlfn.LET(
    _xlpm.text,E86,
    _xlpm.split,_xlfn.TEXTSPLIT(_xlpm.text,", "),
    _xlpm.ids,_xlfn.MAP(_xlpm.split,_xlfn.LAMBDA(_xlpm.name,INDEX(Tactics!$A$2:$A$8,MATCH(TRIM(_xlpm.name),Tactics!$B$2:$B$8,0)))),
    _xlfn.TEXTJOIN(", ",TRUE,_xlpm.ids)
))</f>
        <v>TA0005</v>
      </c>
      <c r="E86" s="12" t="s">
        <v>9</v>
      </c>
    </row>
    <row r="87" spans="1:5" ht="80" x14ac:dyDescent="0.2">
      <c r="A87" s="12" t="s">
        <v>173</v>
      </c>
      <c r="B87" s="12" t="s">
        <v>174</v>
      </c>
      <c r="C87" s="12" t="s">
        <v>305</v>
      </c>
      <c r="D87" s="12" t="str" cm="1">
        <f t="array" ref="D87">IF(E87="","",_xlfn.LET(
    _xlpm.text,E87,
    _xlpm.split,_xlfn.TEXTSPLIT(_xlpm.text,", "),
    _xlpm.ids,_xlfn.MAP(_xlpm.split,_xlfn.LAMBDA(_xlpm.name,INDEX(Tactics!$A$2:$A$8,MATCH(TRIM(_xlpm.name),Tactics!$B$2:$B$8,0)))),
    _xlfn.TEXTJOIN(", ",TRUE,_xlpm.ids)
))</f>
        <v>TA0001</v>
      </c>
      <c r="E87" s="12" t="s">
        <v>27</v>
      </c>
    </row>
    <row r="88" spans="1:5" ht="80" x14ac:dyDescent="0.2">
      <c r="A88" s="12" t="s">
        <v>175</v>
      </c>
      <c r="B88" s="12" t="s">
        <v>376</v>
      </c>
      <c r="C88" s="12" t="s">
        <v>287</v>
      </c>
      <c r="D88" s="12" t="str" cm="1">
        <f t="array" ref="D88">IF(E88="","",_xlfn.LET(
    _xlpm.text,E88,
    _xlpm.split,_xlfn.TEXTSPLIT(_xlpm.text,", "),
    _xlpm.ids,_xlfn.MAP(_xlpm.split,_xlfn.LAMBDA(_xlpm.name,INDEX(Tactics!$A$2:$A$8,MATCH(TRIM(_xlpm.name),Tactics!$B$2:$B$8,0)))),
    _xlfn.TEXTJOIN(", ",TRUE,_xlpm.ids)
))</f>
        <v>TA0043</v>
      </c>
      <c r="E88" s="12" t="s">
        <v>163</v>
      </c>
    </row>
    <row r="89" spans="1:5" ht="64" x14ac:dyDescent="0.2">
      <c r="A89" s="12" t="s">
        <v>176</v>
      </c>
      <c r="B89" s="12" t="s">
        <v>177</v>
      </c>
      <c r="C89" s="12" t="s">
        <v>263</v>
      </c>
      <c r="D89" s="12" t="str" cm="1">
        <f t="array" ref="D89">IF(E89="","",_xlfn.LET(
    _xlpm.text,E89,
    _xlpm.split,_xlfn.TEXTSPLIT(_xlpm.text,", "),
    _xlpm.ids,_xlfn.MAP(_xlpm.split,_xlfn.LAMBDA(_xlpm.name,INDEX(Tactics!$A$2:$A$8,MATCH(TRIM(_xlpm.name),Tactics!$B$2:$B$8,0)))),
    _xlfn.TEXTJOIN(", ",TRUE,_xlpm.ids)
))</f>
        <v>FA0001, TA0043</v>
      </c>
      <c r="E89" s="12" t="s">
        <v>330</v>
      </c>
    </row>
    <row r="90" spans="1:5" ht="80" x14ac:dyDescent="0.2">
      <c r="A90" s="12" t="s">
        <v>178</v>
      </c>
      <c r="B90" s="12" t="s">
        <v>179</v>
      </c>
      <c r="C90" s="12" t="s">
        <v>306</v>
      </c>
      <c r="D90" s="12" t="str" cm="1">
        <f t="array" ref="D90">IF(E90="","",_xlfn.LET(
    _xlpm.text,E90,
    _xlpm.split,_xlfn.TEXTSPLIT(_xlpm.text,", "),
    _xlpm.ids,_xlfn.MAP(_xlpm.split,_xlfn.LAMBDA(_xlpm.name,INDEX(Tactics!$A$2:$A$8,MATCH(TRIM(_xlpm.name),Tactics!$B$2:$B$8,0)))),
    _xlfn.TEXTJOIN(", ",TRUE,_xlpm.ids)
))</f>
        <v>TA0001</v>
      </c>
      <c r="E90" s="12" t="s">
        <v>27</v>
      </c>
    </row>
    <row r="91" spans="1:5" ht="80" x14ac:dyDescent="0.2">
      <c r="A91" s="12" t="s">
        <v>180</v>
      </c>
      <c r="B91" s="12" t="s">
        <v>181</v>
      </c>
      <c r="C91" s="12" t="s">
        <v>262</v>
      </c>
      <c r="D91" s="12" t="str" cm="1">
        <f t="array" ref="D91">IF(E91="","",_xlfn.LET(
    _xlpm.text,E91,
    _xlpm.split,_xlfn.TEXTSPLIT(_xlpm.text,", "),
    _xlpm.ids,_xlfn.MAP(_xlpm.split,_xlfn.LAMBDA(_xlpm.name,INDEX(Tactics!$A$2:$A$8,MATCH(TRIM(_xlpm.name),Tactics!$B$2:$B$8,0)))),
    _xlfn.TEXTJOIN(", ",TRUE,_xlpm.ids)
))</f>
        <v>TA0001</v>
      </c>
      <c r="E91" s="12" t="s">
        <v>27</v>
      </c>
    </row>
    <row r="92" spans="1:5" ht="128" x14ac:dyDescent="0.2">
      <c r="A92" s="12" t="s">
        <v>182</v>
      </c>
      <c r="B92" s="12" t="s">
        <v>183</v>
      </c>
      <c r="C92" s="12" t="s">
        <v>341</v>
      </c>
      <c r="D92" s="12" t="str" cm="1">
        <f t="array" ref="D92">IF(E92="","",_xlfn.LET(
    _xlpm.text,E92,
    _xlpm.split,_xlfn.TEXTSPLIT(_xlpm.text,", "),
    _xlpm.ids,_xlfn.MAP(_xlpm.split,_xlfn.LAMBDA(_xlpm.name,INDEX(Tactics!$A$2:$A$8,MATCH(TRIM(_xlpm.name),Tactics!$B$2:$B$8,0)))),
    _xlfn.TEXTJOIN(", ",TRUE,_xlpm.ids)
))</f>
        <v>FA0001, TA0005</v>
      </c>
      <c r="E92" s="12" t="s">
        <v>320</v>
      </c>
    </row>
    <row r="93" spans="1:5" ht="96" x14ac:dyDescent="0.2">
      <c r="A93" s="12" t="s">
        <v>184</v>
      </c>
      <c r="B93" s="12" t="s">
        <v>185</v>
      </c>
      <c r="C93" s="12" t="s">
        <v>288</v>
      </c>
      <c r="D93" s="12" t="str" cm="1">
        <f t="array" ref="D93">IF(E93="","",_xlfn.LET(
    _xlpm.text,E93,
    _xlpm.split,_xlfn.TEXTSPLIT(_xlpm.text,", "),
    _xlpm.ids,_xlfn.MAP(_xlpm.split,_xlfn.LAMBDA(_xlpm.name,INDEX(Tactics!$A$2:$A$8,MATCH(TRIM(_xlpm.name),Tactics!$B$2:$B$8,0)))),
    _xlfn.TEXTJOIN(", ",TRUE,_xlpm.ids)
))</f>
        <v>TA0002</v>
      </c>
      <c r="E93" s="12" t="s">
        <v>23</v>
      </c>
    </row>
    <row r="94" spans="1:5" ht="80" x14ac:dyDescent="0.2">
      <c r="A94" s="12" t="s">
        <v>186</v>
      </c>
      <c r="B94" s="12" t="s">
        <v>187</v>
      </c>
      <c r="C94" s="12" t="s">
        <v>261</v>
      </c>
      <c r="D94" s="12" t="str" cm="1">
        <f t="array" ref="D94">IF(E94="","",_xlfn.LET(
    _xlpm.text,E94,
    _xlpm.split,_xlfn.TEXTSPLIT(_xlpm.text,", "),
    _xlpm.ids,_xlfn.MAP(_xlpm.split,_xlfn.LAMBDA(_xlpm.name,INDEX(Tactics!$A$2:$A$8,MATCH(TRIM(_xlpm.name),Tactics!$B$2:$B$8,0)))),
    _xlfn.TEXTJOIN(", ",TRUE,_xlpm.ids)
))</f>
        <v>TA0005, TA0043, TA0001</v>
      </c>
      <c r="E94" s="12" t="s">
        <v>342</v>
      </c>
    </row>
    <row r="95" spans="1:5" ht="80" x14ac:dyDescent="0.2">
      <c r="A95" s="12" t="s">
        <v>188</v>
      </c>
      <c r="B95" s="12" t="s">
        <v>189</v>
      </c>
      <c r="C95" s="12" t="s">
        <v>307</v>
      </c>
      <c r="D95" s="12" t="str" cm="1">
        <f t="array" ref="D95">IF(E95="","",_xlfn.LET(
    _xlpm.text,E95,
    _xlpm.split,_xlfn.TEXTSPLIT(_xlpm.text,", "),
    _xlpm.ids,_xlfn.MAP(_xlpm.split,_xlfn.LAMBDA(_xlpm.name,INDEX(Tactics!$A$2:$A$8,MATCH(TRIM(_xlpm.name),Tactics!$B$2:$B$8,0)))),
    _xlfn.TEXTJOIN(", ",TRUE,_xlpm.ids)
))</f>
        <v>TA0042</v>
      </c>
      <c r="E95" s="12" t="s">
        <v>57</v>
      </c>
    </row>
    <row r="96" spans="1:5" ht="96" x14ac:dyDescent="0.2">
      <c r="A96" s="12" t="s">
        <v>190</v>
      </c>
      <c r="B96" s="12" t="s">
        <v>312</v>
      </c>
      <c r="C96" s="12" t="s">
        <v>308</v>
      </c>
      <c r="D96" s="12" t="str" cm="1">
        <f t="array" ref="D96">IF(E96="","",_xlfn.LET(
    _xlpm.text,E96,
    _xlpm.split,_xlfn.TEXTSPLIT(_xlpm.text,", "),
    _xlpm.ids,_xlfn.MAP(_xlpm.split,_xlfn.LAMBDA(_xlpm.name,INDEX(Tactics!$A$2:$A$8,MATCH(TRIM(_xlpm.name),Tactics!$B$2:$B$8,0)))),
    _xlfn.TEXTJOIN(", ",TRUE,_xlpm.ids)
))</f>
        <v>TA0005</v>
      </c>
      <c r="E96" s="12" t="s">
        <v>9</v>
      </c>
    </row>
    <row r="97" spans="1:5" ht="409.6" x14ac:dyDescent="0.2">
      <c r="A97" s="12" t="s">
        <v>343</v>
      </c>
      <c r="B97" s="12" t="s">
        <v>344</v>
      </c>
      <c r="C97" s="12" t="s">
        <v>345</v>
      </c>
      <c r="D97" s="12" t="str" cm="1">
        <f t="array" ref="D97">IF(E97="","",_xlfn.LET(
    _xlpm.text,E97,
    _xlpm.split,_xlfn.TEXTSPLIT(_xlpm.text,", "),
    _xlpm.ids,_xlfn.MAP(_xlpm.split,_xlfn.LAMBDA(_xlpm.name,INDEX(Tactics!$A$2:$A$8,MATCH(TRIM(_xlpm.name),Tactics!$B$2:$B$8,0)))),
    _xlfn.TEXTJOIN(", ",TRUE,_xlpm.ids)
))</f>
        <v>TA0001</v>
      </c>
      <c r="E97" s="12" t="s">
        <v>27</v>
      </c>
    </row>
    <row r="98" spans="1:5" ht="304" x14ac:dyDescent="0.2">
      <c r="A98" s="12" t="s">
        <v>230</v>
      </c>
      <c r="B98" s="12" t="s">
        <v>231</v>
      </c>
      <c r="C98" s="12" t="s">
        <v>346</v>
      </c>
      <c r="D98" s="12" t="str" cm="1">
        <f t="array" ref="D98">IF(E98="","",_xlfn.LET(
    _xlpm.text,E98,
    _xlpm.split,_xlfn.TEXTSPLIT(_xlpm.text,", "),
    _xlpm.ids,_xlfn.MAP(_xlpm.split,_xlfn.LAMBDA(_xlpm.name,INDEX(Tactics!$A$2:$A$8,MATCH(TRIM(_xlpm.name),Tactics!$B$2:$B$8,0)))),
    _xlfn.TEXTJOIN(", ",TRUE,_xlpm.ids)
))</f>
        <v>TA0043</v>
      </c>
      <c r="E98" s="12" t="s">
        <v>163</v>
      </c>
    </row>
    <row r="99" spans="1:5" ht="96" x14ac:dyDescent="0.2">
      <c r="A99" s="12" t="s">
        <v>192</v>
      </c>
      <c r="B99" s="12" t="s">
        <v>193</v>
      </c>
      <c r="C99" s="12" t="s">
        <v>260</v>
      </c>
      <c r="D99" s="12" t="str" cm="1">
        <f t="array" ref="D99">IF(E99="","",_xlfn.LET(
    _xlpm.text,E99,
    _xlpm.split,_xlfn.TEXTSPLIT(_xlpm.text,", "),
    _xlpm.ids,_xlfn.MAP(_xlpm.split,_xlfn.LAMBDA(_xlpm.name,INDEX(Tactics!$A$2:$A$8,MATCH(TRIM(_xlpm.name),Tactics!$B$2:$B$8,0)))),
    _xlfn.TEXTJOIN(", ",TRUE,_xlpm.ids)
))</f>
        <v>TA0001</v>
      </c>
      <c r="E99" s="12" t="s">
        <v>27</v>
      </c>
    </row>
    <row r="100" spans="1:5" ht="96" x14ac:dyDescent="0.2">
      <c r="A100" s="12" t="s">
        <v>194</v>
      </c>
      <c r="B100" s="12" t="s">
        <v>195</v>
      </c>
      <c r="C100" s="12" t="s">
        <v>347</v>
      </c>
      <c r="D100" s="12" t="str" cm="1">
        <f t="array" ref="D100">IF(E100="","",_xlfn.LET(
    _xlpm.text,E100,
    _xlpm.split,_xlfn.TEXTSPLIT(_xlpm.text,", "),
    _xlpm.ids,_xlfn.MAP(_xlpm.split,_xlfn.LAMBDA(_xlpm.name,INDEX(Tactics!$A$2:$A$8,MATCH(TRIM(_xlpm.name),Tactics!$B$2:$B$8,0)))),
    _xlfn.TEXTJOIN(", ",TRUE,_xlpm.ids)
))</f>
        <v>FA0001, TA0001</v>
      </c>
      <c r="E100" s="12" t="s">
        <v>333</v>
      </c>
    </row>
    <row r="101" spans="1:5" ht="160" x14ac:dyDescent="0.2">
      <c r="A101" s="12" t="s">
        <v>196</v>
      </c>
      <c r="B101" s="12" t="s">
        <v>197</v>
      </c>
      <c r="C101" s="12" t="s">
        <v>271</v>
      </c>
      <c r="D101" s="12" t="str" cm="1">
        <f t="array" ref="D101">IF(E101="","",_xlfn.LET(
    _xlpm.text,E101,
    _xlpm.split,_xlfn.TEXTSPLIT(_xlpm.text,", "),
    _xlpm.ids,_xlfn.MAP(_xlpm.split,_xlfn.LAMBDA(_xlpm.name,INDEX(Tactics!$A$2:$A$8,MATCH(TRIM(_xlpm.name),Tactics!$B$2:$B$8,0)))),
    _xlfn.TEXTJOIN(", ",TRUE,_xlpm.ids)
))</f>
        <v>FA0001</v>
      </c>
      <c r="E101" s="12" t="s">
        <v>13</v>
      </c>
    </row>
    <row r="102" spans="1:5" ht="96" x14ac:dyDescent="0.2">
      <c r="A102" s="12" t="s">
        <v>198</v>
      </c>
      <c r="B102" s="12" t="s">
        <v>199</v>
      </c>
      <c r="C102" s="12" t="s">
        <v>377</v>
      </c>
      <c r="D102" s="12" t="str" cm="1">
        <f t="array" ref="D102">IF(E102="","",_xlfn.LET(
    _xlpm.text,E102,
    _xlpm.split,_xlfn.TEXTSPLIT(_xlpm.text,", "),
    _xlpm.ids,_xlfn.MAP(_xlpm.split,_xlfn.LAMBDA(_xlpm.name,INDEX(Tactics!$A$2:$A$8,MATCH(TRIM(_xlpm.name),Tactics!$B$2:$B$8,0)))),
    _xlfn.TEXTJOIN(", ",TRUE,_xlpm.ids)
))</f>
        <v>TA0002</v>
      </c>
      <c r="E102" s="12" t="s">
        <v>23</v>
      </c>
    </row>
    <row r="103" spans="1:5" ht="176" x14ac:dyDescent="0.2">
      <c r="A103" s="12" t="s">
        <v>200</v>
      </c>
      <c r="B103" s="12" t="s">
        <v>201</v>
      </c>
      <c r="C103" s="12" t="s">
        <v>259</v>
      </c>
      <c r="D103" s="12" t="str" cm="1">
        <f t="array" ref="D103">IF(E103="","",_xlfn.LET(
    _xlpm.text,E103,
    _xlpm.split,_xlfn.TEXTSPLIT(_xlpm.text,", "),
    _xlpm.ids,_xlfn.MAP(_xlpm.split,_xlfn.LAMBDA(_xlpm.name,INDEX(Tactics!$A$2:$A$8,MATCH(TRIM(_xlpm.name),Tactics!$B$2:$B$8,0)))),
    _xlfn.TEXTJOIN(", ",TRUE,_xlpm.ids)
))</f>
        <v>TA0002</v>
      </c>
      <c r="E103" s="12" t="s">
        <v>23</v>
      </c>
    </row>
    <row r="104" spans="1:5" ht="64" x14ac:dyDescent="0.2">
      <c r="A104" s="12" t="s">
        <v>202</v>
      </c>
      <c r="B104" s="12" t="s">
        <v>203</v>
      </c>
      <c r="C104" s="12" t="s">
        <v>258</v>
      </c>
      <c r="D104" s="12" t="str" cm="1">
        <f t="array" ref="D104">IF(E104="","",_xlfn.LET(
    _xlpm.text,E104,
    _xlpm.split,_xlfn.TEXTSPLIT(_xlpm.text,", "),
    _xlpm.ids,_xlfn.MAP(_xlpm.split,_xlfn.LAMBDA(_xlpm.name,INDEX(Tactics!$A$2:$A$8,MATCH(TRIM(_xlpm.name),Tactics!$B$2:$B$8,0)))),
    _xlfn.TEXTJOIN(", ",TRUE,_xlpm.ids)
))</f>
        <v>FA0001</v>
      </c>
      <c r="E104" s="12" t="s">
        <v>13</v>
      </c>
    </row>
    <row r="105" spans="1:5" ht="48" x14ac:dyDescent="0.2">
      <c r="A105" s="12" t="s">
        <v>204</v>
      </c>
      <c r="B105" s="12" t="s">
        <v>205</v>
      </c>
      <c r="C105" s="12" t="s">
        <v>206</v>
      </c>
      <c r="D105" s="12" t="str" cm="1">
        <f t="array" ref="D105">IF(E105="","",_xlfn.LET(
    _xlpm.text,E105,
    _xlpm.split,_xlfn.TEXTSPLIT(_xlpm.text,", "),
    _xlpm.ids,_xlfn.MAP(_xlpm.split,_xlfn.LAMBDA(_xlpm.name,INDEX(Tactics!$A$2:$A$8,MATCH(TRIM(_xlpm.name),Tactics!$B$2:$B$8,0)))),
    _xlfn.TEXTJOIN(", ",TRUE,_xlpm.ids)
))</f>
        <v>TA0001</v>
      </c>
      <c r="E105" s="12" t="s">
        <v>27</v>
      </c>
    </row>
    <row r="106" spans="1:5" ht="224" x14ac:dyDescent="0.2">
      <c r="A106" s="12" t="s">
        <v>207</v>
      </c>
      <c r="B106" s="12" t="s">
        <v>208</v>
      </c>
      <c r="C106" s="12" t="s">
        <v>378</v>
      </c>
      <c r="D106" s="12" t="str" cm="1">
        <f t="array" ref="D106">IF(E106="","",_xlfn.LET(
    _xlpm.text,E106,
    _xlpm.split,_xlfn.TEXTSPLIT(_xlpm.text,", "),
    _xlpm.ids,_xlfn.MAP(_xlpm.split,_xlfn.LAMBDA(_xlpm.name,INDEX(Tactics!$A$2:$A$8,MATCH(TRIM(_xlpm.name),Tactics!$B$2:$B$8,0)))),
    _xlfn.TEXTJOIN(", ",TRUE,_xlpm.ids)
))</f>
        <v>TA0042</v>
      </c>
      <c r="E106" s="12" t="s">
        <v>57</v>
      </c>
    </row>
    <row r="107" spans="1:5" ht="80" x14ac:dyDescent="0.2">
      <c r="A107" s="12" t="s">
        <v>232</v>
      </c>
      <c r="B107" s="12" t="s">
        <v>209</v>
      </c>
      <c r="C107" s="12" t="s">
        <v>257</v>
      </c>
      <c r="D107" s="12" t="str" cm="1">
        <f t="array" ref="D107">IF(E107="","",_xlfn.LET(
    _xlpm.text,E107,
    _xlpm.split,_xlfn.TEXTSPLIT(_xlpm.text,", "),
    _xlpm.ids,_xlfn.MAP(_xlpm.split,_xlfn.LAMBDA(_xlpm.name,INDEX(Tactics!$A$2:$A$8,MATCH(TRIM(_xlpm.name),Tactics!$B$2:$B$8,0)))),
    _xlfn.TEXTJOIN(", ",TRUE,_xlpm.ids)
))</f>
        <v>TA0042</v>
      </c>
      <c r="E107" s="12" t="s">
        <v>57</v>
      </c>
    </row>
    <row r="108" spans="1:5" ht="335" x14ac:dyDescent="0.2">
      <c r="A108" s="12" t="s">
        <v>210</v>
      </c>
      <c r="B108" s="12" t="s">
        <v>211</v>
      </c>
      <c r="C108" s="12" t="s">
        <v>272</v>
      </c>
      <c r="D108" s="12" t="str" cm="1">
        <f t="array" ref="D108">IF(E108="","",_xlfn.LET(
    _xlpm.text,E108,
    _xlpm.split,_xlfn.TEXTSPLIT(_xlpm.text,", "),
    _xlpm.ids,_xlfn.MAP(_xlpm.split,_xlfn.LAMBDA(_xlpm.name,INDEX(Tactics!$A$2:$A$8,MATCH(TRIM(_xlpm.name),Tactics!$B$2:$B$8,0)))),
    _xlfn.TEXTJOIN(", ",TRUE,_xlpm.ids)
))</f>
        <v>FA0001, TA0001</v>
      </c>
      <c r="E108" s="12" t="s">
        <v>333</v>
      </c>
    </row>
    <row r="109" spans="1:5" ht="112" x14ac:dyDescent="0.2">
      <c r="A109" s="12" t="s">
        <v>212</v>
      </c>
      <c r="B109" s="12" t="s">
        <v>213</v>
      </c>
      <c r="C109" s="12" t="s">
        <v>334</v>
      </c>
      <c r="D109" s="12" t="str" cm="1">
        <f t="array" ref="D109">IF(E109="","",_xlfn.LET(
    _xlpm.text,E109,
    _xlpm.split,_xlfn.TEXTSPLIT(_xlpm.text,", "),
    _xlpm.ids,_xlfn.MAP(_xlpm.split,_xlfn.LAMBDA(_xlpm.name,INDEX(Tactics!$A$2:$A$8,MATCH(TRIM(_xlpm.name),Tactics!$B$2:$B$8,0)))),
    _xlfn.TEXTJOIN(", ",TRUE,_xlpm.ids)
))</f>
        <v>TA0005</v>
      </c>
      <c r="E109" s="12" t="s">
        <v>9</v>
      </c>
    </row>
    <row r="110" spans="1:5" ht="395" x14ac:dyDescent="0.2">
      <c r="A110" s="12" t="s">
        <v>214</v>
      </c>
      <c r="B110" s="12" t="s">
        <v>215</v>
      </c>
      <c r="C110" s="12" t="s">
        <v>277</v>
      </c>
      <c r="D110" s="12" t="str" cm="1">
        <f t="array" ref="D110">IF(E110="","",_xlfn.LET(
    _xlpm.text,E110,
    _xlpm.split,_xlfn.TEXTSPLIT(_xlpm.text,", "),
    _xlpm.ids,_xlfn.MAP(_xlpm.split,_xlfn.LAMBDA(_xlpm.name,INDEX(Tactics!$A$2:$A$8,MATCH(TRIM(_xlpm.name),Tactics!$B$2:$B$8,0)))),
    _xlfn.TEXTJOIN(", ",TRUE,_xlpm.ids)
))</f>
        <v>TA0001</v>
      </c>
      <c r="E110" s="12" t="s">
        <v>27</v>
      </c>
    </row>
    <row r="111" spans="1:5" ht="144" x14ac:dyDescent="0.2">
      <c r="A111" s="12" t="s">
        <v>216</v>
      </c>
      <c r="B111" s="12" t="s">
        <v>379</v>
      </c>
      <c r="C111" s="12" t="s">
        <v>380</v>
      </c>
      <c r="D111" s="12" t="str" cm="1">
        <f t="array" ref="D111">IF(E111="","",_xlfn.LET(
    _xlpm.text,E111,
    _xlpm.split,_xlfn.TEXTSPLIT(_xlpm.text,", "),
    _xlpm.ids,_xlfn.MAP(_xlpm.split,_xlfn.LAMBDA(_xlpm.name,INDEX(Tactics!$A$2:$A$8,MATCH(TRIM(_xlpm.name),Tactics!$B$2:$B$8,0)))),
    _xlfn.TEXTJOIN(", ",TRUE,_xlpm.ids)
))</f>
        <v>FA0001</v>
      </c>
      <c r="E111" s="12" t="s">
        <v>13</v>
      </c>
    </row>
    <row r="112" spans="1:5" ht="80" x14ac:dyDescent="0.2">
      <c r="A112" s="12" t="s">
        <v>138</v>
      </c>
      <c r="B112" s="12" t="s">
        <v>217</v>
      </c>
      <c r="C112" s="12" t="s">
        <v>256</v>
      </c>
      <c r="D112" s="12" t="str" cm="1">
        <f t="array" ref="D112">IF(E112="","",_xlfn.LET(
    _xlpm.text,E112,
    _xlpm.split,_xlfn.TEXTSPLIT(_xlpm.text,", "),
    _xlpm.ids,_xlfn.MAP(_xlpm.split,_xlfn.LAMBDA(_xlpm.name,INDEX(Tactics!$A$2:$A$8,MATCH(TRIM(_xlpm.name),Tactics!$B$2:$B$8,0)))),
    _xlfn.TEXTJOIN(", ",TRUE,_xlpm.ids)
))</f>
        <v>TA0001</v>
      </c>
      <c r="E112" s="12" t="s">
        <v>27</v>
      </c>
    </row>
    <row r="113" spans="1:5" ht="96" x14ac:dyDescent="0.2">
      <c r="A113" s="12" t="s">
        <v>218</v>
      </c>
      <c r="B113" s="12" t="s">
        <v>219</v>
      </c>
      <c r="C113" s="12" t="s">
        <v>309</v>
      </c>
      <c r="D113" s="12" t="str" cm="1">
        <f t="array" ref="D113">IF(E113="","",_xlfn.LET(
    _xlpm.text,E113,
    _xlpm.split,_xlfn.TEXTSPLIT(_xlpm.text,", "),
    _xlpm.ids,_xlfn.MAP(_xlpm.split,_xlfn.LAMBDA(_xlpm.name,INDEX(Tactics!$A$2:$A$8,MATCH(TRIM(_xlpm.name),Tactics!$B$2:$B$8,0)))),
    _xlfn.TEXTJOIN(", ",TRUE,_xlpm.ids)
))</f>
        <v>TA0001</v>
      </c>
      <c r="E113" s="12" t="s">
        <v>27</v>
      </c>
    </row>
    <row r="114" spans="1:5" ht="256" x14ac:dyDescent="0.2">
      <c r="A114" s="12" t="s">
        <v>220</v>
      </c>
      <c r="B114" s="12" t="s">
        <v>313</v>
      </c>
      <c r="C114" s="12" t="s">
        <v>348</v>
      </c>
      <c r="D114" s="12" t="str" cm="1">
        <f t="array" ref="D114">IF(E114="","",_xlfn.LET(
    _xlpm.text,E114,
    _xlpm.split,_xlfn.TEXTSPLIT(_xlpm.text,", "),
    _xlpm.ids,_xlfn.MAP(_xlpm.split,_xlfn.LAMBDA(_xlpm.name,INDEX(Tactics!$A$2:$A$8,MATCH(TRIM(_xlpm.name),Tactics!$B$2:$B$8,0)))),
    _xlfn.TEXTJOIN(", ",TRUE,_xlpm.ids)
))</f>
        <v>TA0005</v>
      </c>
      <c r="E114" s="12" t="s">
        <v>9</v>
      </c>
    </row>
    <row r="115" spans="1:5" ht="64" x14ac:dyDescent="0.2">
      <c r="A115" s="12" t="s">
        <v>137</v>
      </c>
      <c r="B115" s="12" t="s">
        <v>381</v>
      </c>
      <c r="C115" s="12" t="s">
        <v>382</v>
      </c>
      <c r="D115" s="12" t="str" cm="1">
        <f t="array" ref="D115">IF(E115="","",_xlfn.LET(
    _xlpm.text,E115,
    _xlpm.split,_xlfn.TEXTSPLIT(_xlpm.text,", "),
    _xlpm.ids,_xlfn.MAP(_xlpm.split,_xlfn.LAMBDA(_xlpm.name,INDEX(Tactics!$A$2:$A$8,MATCH(TRIM(_xlpm.name),Tactics!$B$2:$B$8,0)))),
    _xlfn.TEXTJOIN(", ",TRUE,_xlpm.ids)
))</f>
        <v>FA0002</v>
      </c>
      <c r="E115" s="12" t="s">
        <v>93</v>
      </c>
    </row>
    <row r="116" spans="1:5" ht="96" x14ac:dyDescent="0.2">
      <c r="A116" s="12" t="s">
        <v>191</v>
      </c>
      <c r="B116" s="12" t="s">
        <v>383</v>
      </c>
      <c r="C116" s="12" t="s">
        <v>386</v>
      </c>
      <c r="D116" s="12" t="str" cm="1">
        <f t="array" ref="D116">IF(E116="","",_xlfn.LET(
    _xlpm.text,E116,
    _xlpm.split,_xlfn.TEXTSPLIT(_xlpm.text,", "),
    _xlpm.ids,_xlfn.MAP(_xlpm.split,_xlfn.LAMBDA(_xlpm.name,INDEX(Tactics!$A$2:$A$8,MATCH(TRIM(_xlpm.name),Tactics!$B$2:$B$8,0)))),
    _xlfn.TEXTJOIN(", ",TRUE,_xlpm.ids)
))</f>
        <v>FA0002</v>
      </c>
      <c r="E116" s="12" t="s">
        <v>93</v>
      </c>
    </row>
    <row r="117" spans="1:5" ht="64" x14ac:dyDescent="0.2">
      <c r="A117" s="12" t="s">
        <v>150</v>
      </c>
      <c r="B117" s="12" t="s">
        <v>385</v>
      </c>
      <c r="C117" s="12" t="s">
        <v>224</v>
      </c>
      <c r="D117" s="12" t="str" cm="1">
        <f t="array" ref="D117">IF(E117="","",_xlfn.LET(
    _xlpm.text,E117,
    _xlpm.split,_xlfn.TEXTSPLIT(_xlpm.text,", "),
    _xlpm.ids,_xlfn.MAP(_xlpm.split,_xlfn.LAMBDA(_xlpm.name,INDEX(Tactics!$A$2:$A$8,MATCH(TRIM(_xlpm.name),Tactics!$B$2:$B$8,0)))),
    _xlfn.TEXTJOIN(", ",TRUE,_xlpm.ids)
))</f>
        <v>FA0002</v>
      </c>
      <c r="E117" s="12" t="s">
        <v>93</v>
      </c>
    </row>
    <row r="118" spans="1:5" ht="48" x14ac:dyDescent="0.2">
      <c r="A118" s="12" t="s">
        <v>384</v>
      </c>
      <c r="B118" s="12" t="s">
        <v>387</v>
      </c>
      <c r="C118" s="12" t="s">
        <v>388</v>
      </c>
      <c r="D118" s="12" t="str" cm="1">
        <f t="array" ref="D118">IF(E118="","",_xlfn.LET(
    _xlpm.text,E118,
    _xlpm.split,_xlfn.TEXTSPLIT(_xlpm.text,", "),
    _xlpm.ids,_xlfn.MAP(_xlpm.split,_xlfn.LAMBDA(_xlpm.name,INDEX(Tactics!$A$2:$A$8,MATCH(TRIM(_xlpm.name),Tactics!$B$2:$B$8,0)))),
    _xlfn.TEXTJOIN(", ",TRUE,_xlpm.ids)
))</f>
        <v>FA0002</v>
      </c>
      <c r="E118" s="12" t="s">
        <v>93</v>
      </c>
    </row>
    <row r="119" spans="1:5" ht="64" x14ac:dyDescent="0.2">
      <c r="A119" s="12" t="s">
        <v>389</v>
      </c>
      <c r="B119" s="12" t="s">
        <v>390</v>
      </c>
      <c r="C119" s="12" t="s">
        <v>391</v>
      </c>
      <c r="D119" s="12" t="str" cm="1">
        <f t="array" ref="D119">IF(E119="","",_xlfn.LET(
    _xlpm.text,E119,
    _xlpm.split,_xlfn.TEXTSPLIT(_xlpm.text,", "),
    _xlpm.ids,_xlfn.MAP(_xlpm.split,_xlfn.LAMBDA(_xlpm.name,INDEX(Tactics!$A$2:$A$8,MATCH(TRIM(_xlpm.name),Tactics!$B$2:$B$8,0)))),
    _xlfn.TEXTJOIN(", ",TRUE,_xlpm.ids)
))</f>
        <v>FA0002</v>
      </c>
      <c r="E119" s="12" t="s">
        <v>93</v>
      </c>
    </row>
    <row r="120" spans="1:5" ht="80" x14ac:dyDescent="0.2">
      <c r="A120" s="12" t="s">
        <v>389</v>
      </c>
      <c r="B120" s="12" t="s">
        <v>392</v>
      </c>
      <c r="C120" s="12" t="s">
        <v>393</v>
      </c>
      <c r="D120" s="12" t="str" cm="1">
        <f t="array" ref="D120">IF(E120="","",_xlfn.LET(
    _xlpm.text,E120,
    _xlpm.split,_xlfn.TEXTSPLIT(_xlpm.text,", "),
    _xlpm.ids,_xlfn.MAP(_xlpm.split,_xlfn.LAMBDA(_xlpm.name,INDEX(Tactics!$A$2:$A$8,MATCH(TRIM(_xlpm.name),Tactics!$B$2:$B$8,0)))),
    _xlfn.TEXTJOIN(", ",TRUE,_xlpm.ids)
))</f>
        <v>FA0002</v>
      </c>
      <c r="E120" s="12" t="s">
        <v>93</v>
      </c>
    </row>
    <row r="121" spans="1:5" ht="64" x14ac:dyDescent="0.2">
      <c r="A121" s="12" t="s">
        <v>389</v>
      </c>
      <c r="B121" s="12" t="s">
        <v>394</v>
      </c>
      <c r="C121" s="12" t="s">
        <v>395</v>
      </c>
      <c r="D121" s="12" t="str" cm="1">
        <f t="array" ref="D121">IF(E121="","",_xlfn.LET(
    _xlpm.text,E121,
    _xlpm.split,_xlfn.TEXTSPLIT(_xlpm.text,", "),
    _xlpm.ids,_xlfn.MAP(_xlpm.split,_xlfn.LAMBDA(_xlpm.name,INDEX(Tactics!$A$2:$A$8,MATCH(TRIM(_xlpm.name),Tactics!$B$2:$B$8,0)))),
    _xlfn.TEXTJOIN(", ",TRUE,_xlpm.ids)
))</f>
        <v>FA0002</v>
      </c>
      <c r="E121" s="12" t="s">
        <v>93</v>
      </c>
    </row>
    <row r="122" spans="1:5" ht="64" x14ac:dyDescent="0.2">
      <c r="A122" s="12" t="s">
        <v>389</v>
      </c>
      <c r="B122" s="12" t="s">
        <v>396</v>
      </c>
      <c r="C122" s="12" t="s">
        <v>397</v>
      </c>
      <c r="D122" s="12" t="str" cm="1">
        <f t="array" ref="D122">IF(E122="","",_xlfn.LET(
    _xlpm.text,E122,
    _xlpm.split,_xlfn.TEXTSPLIT(_xlpm.text,", "),
    _xlpm.ids,_xlfn.MAP(_xlpm.split,_xlfn.LAMBDA(_xlpm.name,INDEX(Tactics!$A$2:$A$8,MATCH(TRIM(_xlpm.name),Tactics!$B$2:$B$8,0)))),
    _xlfn.TEXTJOIN(", ",TRUE,_xlpm.ids)
))</f>
        <v>FA0002</v>
      </c>
      <c r="E122" s="12" t="s">
        <v>93</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8"/>
  <sheetViews>
    <sheetView topLeftCell="A2" zoomScaleNormal="100" workbookViewId="0">
      <selection activeCell="I3" sqref="I3"/>
    </sheetView>
  </sheetViews>
  <sheetFormatPr baseColWidth="10" defaultColWidth="8.83203125" defaultRowHeight="15" x14ac:dyDescent="0.2"/>
  <cols>
    <col min="2" max="2" width="27.5" customWidth="1"/>
    <col min="3" max="3" width="78.5" style="3" customWidth="1"/>
  </cols>
  <sheetData>
    <row r="1" spans="1:4" ht="16" x14ac:dyDescent="0.2">
      <c r="A1" s="5" t="s">
        <v>3</v>
      </c>
      <c r="B1" s="5" t="s">
        <v>4</v>
      </c>
      <c r="C1" s="5" t="s">
        <v>5</v>
      </c>
    </row>
    <row r="2" spans="1:4" ht="144" x14ac:dyDescent="0.2">
      <c r="A2" s="6" t="s">
        <v>162</v>
      </c>
      <c r="B2" s="6" t="s">
        <v>163</v>
      </c>
      <c r="C2" s="7" t="s">
        <v>235</v>
      </c>
    </row>
    <row r="3" spans="1:4" ht="128" x14ac:dyDescent="0.2">
      <c r="A3" s="8" t="s">
        <v>56</v>
      </c>
      <c r="B3" s="8" t="s">
        <v>57</v>
      </c>
      <c r="C3" s="9" t="s">
        <v>236</v>
      </c>
    </row>
    <row r="4" spans="1:4" ht="112" x14ac:dyDescent="0.2">
      <c r="A4" s="6" t="s">
        <v>12</v>
      </c>
      <c r="B4" s="6" t="s">
        <v>27</v>
      </c>
      <c r="C4" s="7" t="s">
        <v>234</v>
      </c>
      <c r="D4" s="3"/>
    </row>
    <row r="5" spans="1:4" ht="112" x14ac:dyDescent="0.2">
      <c r="A5" s="8" t="s">
        <v>8</v>
      </c>
      <c r="B5" s="8" t="s">
        <v>9</v>
      </c>
      <c r="C5" s="9" t="s">
        <v>237</v>
      </c>
    </row>
    <row r="6" spans="1:4" ht="112" x14ac:dyDescent="0.2">
      <c r="A6" s="10" t="s">
        <v>30</v>
      </c>
      <c r="B6" s="10" t="s">
        <v>13</v>
      </c>
      <c r="C6" s="11" t="s">
        <v>238</v>
      </c>
    </row>
    <row r="7" spans="1:4" ht="176" x14ac:dyDescent="0.2">
      <c r="A7" s="8" t="s">
        <v>22</v>
      </c>
      <c r="B7" s="8" t="s">
        <v>23</v>
      </c>
      <c r="C7" s="9" t="s">
        <v>239</v>
      </c>
    </row>
    <row r="8" spans="1:4" ht="144" x14ac:dyDescent="0.2">
      <c r="A8" s="10" t="s">
        <v>92</v>
      </c>
      <c r="B8" s="10" t="s">
        <v>93</v>
      </c>
      <c r="C8" s="11" t="s">
        <v>240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Props1.xml><?xml version="1.0" encoding="utf-8"?>
<ds:datastoreItem xmlns:ds="http://schemas.openxmlformats.org/officeDocument/2006/customXml" ds:itemID="{5B507651-5BE5-4ABC-ABE6-D1B49CE5227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924a7a6-226d-4709-822c-ddd693735afe"/>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5E9A6EB-E1F5-40DF-8E3D-2573C78749C9}">
  <ds:schemaRefs>
    <ds:schemaRef ds:uri="http://schemas.microsoft.com/sharepoint/v3/contenttype/forms"/>
  </ds:schemaRefs>
</ds:datastoreItem>
</file>

<file path=customXml/itemProps3.xml><?xml version="1.0" encoding="utf-8"?>
<ds:datastoreItem xmlns:ds="http://schemas.openxmlformats.org/officeDocument/2006/customXml" ds:itemID="{DC7F9EF2-C1BC-4CE0-ADE4-7BA4FE8FF5FB}">
  <ds:schemaRefs>
    <ds:schemaRef ds:uri="http://schemas.microsoft.com/office/2006/documentManagement/types"/>
    <ds:schemaRef ds:uri="b5a44311-ed64-4a72-909f-c9dc6973bde2"/>
    <ds:schemaRef ds:uri="4924a7a6-226d-4709-822c-ddd693735afe"/>
    <ds:schemaRef ds:uri="http://purl.org/dc/elements/1.1/"/>
    <ds:schemaRef ds:uri="http://schemas.microsoft.com/office/infopath/2007/PartnerControls"/>
    <ds:schemaRef ds:uri="http://purl.org/dc/terms/"/>
    <ds:schemaRef ds:uri="http://www.w3.org/XML/1998/namespace"/>
    <ds:schemaRef ds:uri="http://schemas.openxmlformats.org/package/2006/metadata/core-propertie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Techniques</vt:lpstr>
      <vt:lpstr>Tactics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Mike Cunningham</cp:lastModifiedBy>
  <cp:revision/>
  <dcterms:created xsi:type="dcterms:W3CDTF">2026-02-26T15:07:32Z</dcterms:created>
  <dcterms:modified xsi:type="dcterms:W3CDTF">2026-04-01T05:09:49Z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