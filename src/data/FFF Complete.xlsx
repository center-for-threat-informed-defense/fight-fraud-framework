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0" documentId="8_{C4902561-8A0A-43FC-B0FB-7238ABFCB4F0}" xr6:coauthVersionLast="47" xr6:coauthVersionMax="47" xr10:uidLastSave="{00000000-0000-0000-0000-000000000000}"/>
  <bookViews>
    <workbookView xWindow="28680" yWindow="270" windowWidth="25440" windowHeight="15270"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alcChain>
</file>

<file path=xl/sharedStrings.xml><?xml version="1.0" encoding="utf-8"?>
<sst xmlns="http://schemas.openxmlformats.org/spreadsheetml/2006/main" count="519" uniqueCount="398">
  <si>
    <t>Technique ID</t>
  </si>
  <si>
    <t>Technique</t>
  </si>
  <si>
    <t>Description</t>
  </si>
  <si>
    <t>Tactic ID</t>
  </si>
  <si>
    <t>Tactic Name</t>
  </si>
  <si>
    <t>Reviewer</t>
  </si>
  <si>
    <t>Comments</t>
  </si>
  <si>
    <t>F1076</t>
  </si>
  <si>
    <t>3DS Bypass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</si>
  <si>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</si>
  <si>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Defense Evasion</t>
  </si>
  <si>
    <t>T1453</t>
  </si>
  <si>
    <t>Abuse Accessibility Features</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</si>
  <si>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</si>
  <si>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Positioning</t>
  </si>
  <si>
    <t>F1001</t>
  </si>
  <si>
    <t>Abuse of Public-Facing API</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</si>
  <si>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</si>
  <si>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Initial Access, Execution</t>
  </si>
  <si>
    <t>F1001.001</t>
  </si>
  <si>
    <t>Abuse of Public-Facing API: Mobile API Abuse</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</si>
  <si>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</si>
  <si>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F1001.002</t>
  </si>
  <si>
    <t>Abuse of Public-Facing API: Web API Abuse</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</si>
  <si>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</si>
  <si>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F1004</t>
  </si>
  <si>
    <t>Abuse SMS verification</t>
  </si>
  <si>
    <t>Fraud actors may abuse SMS verification services to generate excessive costs or enable fraud. This may include sending multiple verification requests to premium-rate numbers, manipulating SMS routing to route traffic through higher-cost carriers, or flooding systems with verification requests to disrupt services or increase operational costs for the target organization.</t>
  </si>
  <si>
    <t>Execution</t>
  </si>
  <si>
    <t>F1005</t>
  </si>
  <si>
    <t>Access Notifications</t>
  </si>
  <si>
    <t>Fraud actors may intercept SMS messages or push notifications to capture authentication codes or sensitive information sent to victim devices. This may include exploiting SIM swap vulnerabilities, using malware to read notification content, or compromising notification delivery infrastructure. Fraud actors use captured authentication codes to bypass multi-factor authentication controls and gain unauthorized account access.</t>
  </si>
  <si>
    <t>Initial Access, Positioning</t>
  </si>
  <si>
    <t>F1006</t>
  </si>
  <si>
    <t>Access with Stolen Session Cookie</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</si>
  <si>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</si>
  <si>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Initial Access</t>
  </si>
  <si>
    <t>T1531</t>
  </si>
  <si>
    <t>Account Access Removal</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</si>
  <si>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</si>
  <si>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F1007</t>
  </si>
  <si>
    <t>Account Linking</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</si>
  <si>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</si>
  <si>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F1008</t>
  </si>
  <si>
    <t>Account Manipulation</t>
  </si>
  <si>
    <t>Fraud actors may modify account settings to facilitate fraud operations or maintain persistent access. This may include altering payment methods, changing account details, modifying notification preferences, or adjusting security settings. Fraud actors typically gain initial access through stolen credentials or system vulnerabilities, then make unauthorized changes to account configurations to support subsequent fraud activities or prevent detection.</t>
  </si>
  <si>
    <t>F1008.004</t>
  </si>
  <si>
    <t>Account Manipulation: Add Authorized User</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</si>
  <si>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</si>
  <si>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F1008.006</t>
  </si>
  <si>
    <t>Account Manipulation: Add Beneficiary</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</si>
  <si>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</si>
  <si>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F1008.005</t>
  </si>
  <si>
    <t>Account Manipulation: Add Call Receiving Device</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</si>
  <si>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</si>
  <si>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F1008.002</t>
  </si>
  <si>
    <t>Account Manipulation: Additional Bank Accounts</t>
  </si>
  <si>
    <t>Fraud actors may add new bank account details to compromised accounts to redirect future payments or transfers. By adding accounts under their control to payment or payout settings, fraud actors can intercept legitimate financial transfers or redirect funds during payment processing. This technique is commonly used against merchant accounts, payroll systems, or other platforms that facilitate outbound payments.</t>
  </si>
  <si>
    <t>F1008.003</t>
  </si>
  <si>
    <t>Account Manipulation: Additional Payment Methods</t>
  </si>
  <si>
    <t>Fraud actors may add new credit cards, bank accounts, or other financial instruments to compromised accounts. This allows fraud actors to make unauthorized purchases, redirect funds to accounts under their control, or establish payment methods that can be used for subsequent fraud operations. Added payment methods may be funded with stolen financial credentials or used to monetize compromised accounts.</t>
  </si>
  <si>
    <t>F1008.009</t>
  </si>
  <si>
    <t>Account Manipulation: Change Account Details</t>
  </si>
  <si>
    <t>Fraud actors may change account details such as PIN numbers, security questions, transaction limits,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</si>
  <si>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F1008.001</t>
  </si>
  <si>
    <t>Account Manipulation: Change E-Delivery / Notification Settings</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</si>
  <si>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</si>
  <si>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F1008.008</t>
  </si>
  <si>
    <t>Account Manipulation: Change of Payment Details</t>
  </si>
  <si>
    <t>Fraud actors may alter legitimate payment details stored in compromised accounts to redirect payments to accounts or payment methods under their control. This may include changing bank account numbers, credit card information, or electronic payment addresses stored for recurring payments or payouts. This technique is commonly used to redirect payroll, vendor payments, or customer refunds.</t>
  </si>
  <si>
    <t>F1008.007</t>
  </si>
  <si>
    <t>Account Manipulation: Enable Account Features</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</si>
  <si>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</si>
  <si>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F1018</t>
  </si>
  <si>
    <t>Account Takeover</t>
  </si>
  <si>
    <t>Fraud actors may gain unauthorized access and control of user accounts on financial platforms or services. This may include using stolen credentials, exploiting system vulnerabilities, conducting phishing attacks, or leveraging credential stuffing with previously breached credentials. Once access is obtained, fraud actors can modify account details, redirect payments, initiate unauthorized transactions, or extract sensitive customer data for further fraud operations.</t>
  </si>
  <si>
    <t>F1055</t>
  </si>
  <si>
    <t>Account Takeover: Exposed API Key</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</si>
  <si>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</si>
  <si>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F1056</t>
  </si>
  <si>
    <t>Account Takeover: Exposed Login Credential</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</si>
  <si>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keylogging malware, or password spraying against common combinations.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</si>
  <si>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F1018.001</t>
  </si>
  <si>
    <t>Account Takeover: Password Reset</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</si>
  <si>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</si>
  <si>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F1020</t>
  </si>
  <si>
    <t>Account Transfer</t>
  </si>
  <si>
    <t>Fraud actors may transfer funds or assets from compromised accounts without authorization. This typically involves using legitimate transfer mechanisms after gaining unauthorized account access through stolen credentials, social engineering, or technical exploits. Fraud actors may transfer funds to accounts under their control or to intermediary accounts used for money laundering operations.</t>
  </si>
  <si>
    <t>T1650</t>
  </si>
  <si>
    <t>Acquire Access</t>
  </si>
  <si>
    <t>Fraud actors may acquire unauthorized access to systems, networks, or accounts to facilitate fraud operations. This encompasses various methods including exploitation of vulnerabilities, use of stolen credentials, social engineering, or leveraging compromised infrastructure. Once access is obtained, fraud actors can conduct reconnaissance, establish persistence, or directly execute fraud activities such as data theft or unauthorized transactions.</t>
  </si>
  <si>
    <t>Resource Development</t>
  </si>
  <si>
    <t>T1583</t>
  </si>
  <si>
    <t>Acquire Infrastructure</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</si>
  <si>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</si>
  <si>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T1583.001</t>
  </si>
  <si>
    <t>Acquire Infrastructure: Domains</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</si>
  <si>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</si>
  <si>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T1583.008</t>
  </si>
  <si>
    <t>Acquire Infrastructure: Malvertising</t>
  </si>
  <si>
    <t>Fraud actors may create malicious advertisements that direct users to fraudulent sites equipped with credential harvesting or payment card skimming capabilities. This may include advertisements for fraudulent merchant sites or compromised legitimate merchant sites. Fraud actors often use stolen payment card data to fund advertising campaigns, creating a self-sustaining fraud operation where stolen credentials fund further credential theft activities.</t>
  </si>
  <si>
    <t>T1583.003</t>
  </si>
  <si>
    <t>Acquire Infrastructure: Virtual Private Network or Server</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</si>
  <si>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</si>
  <si>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F1023</t>
  </si>
  <si>
    <t>Adversary-in-the-Browser</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</si>
  <si>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</si>
  <si>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F1023.001</t>
  </si>
  <si>
    <t>Adversary-in-the-Browser: DLL Injection</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</si>
  <si>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</si>
  <si>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F1023.002</t>
  </si>
  <si>
    <t>Adversary-in-the-Browser: Malicious Browser Extension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</si>
  <si>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</si>
  <si>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F1023.003</t>
  </si>
  <si>
    <t>Adversary-in-the-Browser: Malicious JavaScript Injection</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</si>
  <si>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</si>
  <si>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T1557</t>
  </si>
  <si>
    <t>Adversary-in-the-Middle</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</si>
  <si>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</si>
  <si>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F1030</t>
  </si>
  <si>
    <t>ATM Manipulation</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</si>
  <si>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</si>
  <si>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F1030.002</t>
  </si>
  <si>
    <t>ATM Manipulation: ATM Hardware Manipulation</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</si>
  <si>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</si>
  <si>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F1030.001</t>
  </si>
  <si>
    <t>ATM Manipulation: ATM Software Manipulation</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</si>
  <si>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</si>
  <si>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F1033</t>
  </si>
  <si>
    <t>Bank Deposit</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</si>
  <si>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</si>
  <si>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F1033.001</t>
  </si>
  <si>
    <t>Bank Deposit: ATM Deposit</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</si>
  <si>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</si>
  <si>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F1033.002</t>
  </si>
  <si>
    <t>Bank Deposit: Mobile Deposit</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</si>
  <si>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</si>
  <si>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F1033.003</t>
  </si>
  <si>
    <t>Bank Deposit: Night Deposit</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</si>
  <si>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</si>
  <si>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F1033.004</t>
  </si>
  <si>
    <t>Bank Deposit: Test Deposit</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</si>
  <si>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</si>
  <si>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F1038</t>
  </si>
  <si>
    <t>Bank Transfer</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</si>
  <si>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</si>
  <si>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F1039</t>
  </si>
  <si>
    <t>Betting and Gambling Platforms</t>
  </si>
  <si>
    <t>Fraud actors may exploit betting and gambling platforms to launder money, conduct bonus abuse, or commit transaction fraud. This may include creating accounts with stolen identities, exploiting bonus structures, conducting arbitrage fraud, or using gambling platforms to transfer and obfuscate the origin of illicit funds. Gambling platforms can provide mechanisms for moving funds while creating transaction complexity that hinders fraud detection.</t>
  </si>
  <si>
    <t>Monetization</t>
  </si>
  <si>
    <t>F1039.001</t>
  </si>
  <si>
    <t>Betting and Gambling Platforms: Deposit Funds for Betting</t>
  </si>
  <si>
    <t>Fraud actors may deposit stolen funds into gambling platform accounts to launder money or exploit platform features. This may include depositing funds from compromised payment methods, then withdrawing funds through different payment mechanisms to obscure the original source. Fraud actors may conduct minimal gambling activity to create the appearance of legitimate platform use.</t>
  </si>
  <si>
    <t>T1185</t>
  </si>
  <si>
    <t>Browser Session Hijacking</t>
  </si>
  <si>
    <t>Fraud actors may take advantage of security vulnerabilities and inherent functionality in browser software to change content, modify user-behaviors, and intercept information as part of various browser session hijacking techniques.[1]
A specific example is when a fraud actor injects software into a browser that allows them to inherit cookies, HTTP sessions, and SSL client certificates of a user then use the browser as a way to pivot into an authenticated intranet.[2][3]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authentication.[4]</t>
  </si>
  <si>
    <t>T1110</t>
  </si>
  <si>
    <t>Brute Force</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</si>
  <si>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</si>
  <si>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T1110.004</t>
  </si>
  <si>
    <t>Brute Force:  Credential Stuffing</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</si>
  <si>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</si>
  <si>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T1110.002</t>
  </si>
  <si>
    <t>Brute Force: Password Cracking</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</si>
  <si>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</si>
  <si>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T1110.001</t>
  </si>
  <si>
    <t>Brute Force: Password Guessing</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</si>
  <si>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</si>
  <si>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T1110.003</t>
  </si>
  <si>
    <t>Brute Force: Password Spraying</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</si>
  <si>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</si>
  <si>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F1041</t>
  </si>
  <si>
    <t>Buy Money Order</t>
  </si>
  <si>
    <t>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Fraud actors may use multiple small money orders to avoid transaction reporting thresholds.</t>
  </si>
  <si>
    <t>F1042</t>
  </si>
  <si>
    <t>Card Dump Capture</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</si>
  <si>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</si>
  <si>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F1043</t>
  </si>
  <si>
    <t>Card Testing</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</si>
  <si>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</si>
  <si>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F1093</t>
  </si>
  <si>
    <t>Change Payroll Details</t>
  </si>
  <si>
    <t xml:space="preserve">Fraudsters may alter payroll settings so that salary or wage payments are redirected to accounts they control. This can include changing direct‑deposit account numbers, updating routing information, or modifying payee details within payroll or HR systems, enabling ongoing diversion of payroll funds away from the legitimate employee.
</t>
  </si>
  <si>
    <t>F1049</t>
  </si>
  <si>
    <t>Charge Back Fraud</t>
  </si>
  <si>
    <t>Fraudsters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</si>
  <si>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F1050</t>
  </si>
  <si>
    <t>Check Fraud</t>
  </si>
  <si>
    <t>Fraudsters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</si>
  <si>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F1051</t>
  </si>
  <si>
    <t>Churning</t>
  </si>
  <si>
    <t>Churning fraud occurs when fraudsters repeatedly use stolen payment card information to conduct transactions until the card limit is reached or the account balance is depleted, often before detection or card deactivation.
Fraudsters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</si>
  <si>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T1586</t>
  </si>
  <si>
    <t>Compromise Accounts</t>
  </si>
  <si>
    <t>Fraud actors may compromise accounts with services that can be leveraged during fraud operations. This may include social media accounts, email accounts, cloud service accounts, or corporate accounts. Compromised accounts provide fraud actors with legitimate-appearing identities for conducting social engineering, distributing malicious content, or accessing services and data associated with the compromised account.</t>
  </si>
  <si>
    <t>T1586.003</t>
  </si>
  <si>
    <t>Compromise Accounts: Cloud Accounts</t>
  </si>
  <si>
    <t>Fraud actors may compromise cloud service accounts to access sensitive data, pivot to connected resources, or leverage cloud services for malicious purposes. Compromised cloud accounts may provide access to stored data, configuration information, or connected services and applications. Fraud actors may use compromised cloud accounts to host malicious content, conduct cryptomining operations, or access resources in connected cloud environments.</t>
  </si>
  <si>
    <t>T1586.004</t>
  </si>
  <si>
    <t>Compromise Accounts: Corporate Accounts</t>
  </si>
  <si>
    <t>Fraud actors may compromise corporate accounts to gain access to business systems, conduct business email compromise attacks, or access sensitive corporate information. Compromised corporate accounts provide fraud actors with legitimate credentials for accessing internal systems, customer data, financial information, or other protected corporate resources. These accounts may also be used to authorize fraudulent transactions or initiate unauthorized changes to business processes.</t>
  </si>
  <si>
    <t>T1586.002</t>
  </si>
  <si>
    <t>Compromise Accounts: Email Accounts</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</si>
  <si>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</si>
  <si>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T1586.001</t>
  </si>
  <si>
    <t>Compromise Accounts: Social Media Accounts</t>
  </si>
  <si>
    <t>Fraud actors may compromise social media accounts to conduct social engineering attacks, distribute malicious content, or impersonate legitimate users. Compromised social media accounts can be used to send convincing phishing messages to the victim's contacts, promote fraudulent schemes, gather intelligence about targets and their relationships, or damage the reputation of the account owner.</t>
  </si>
  <si>
    <t>F1057</t>
  </si>
  <si>
    <t>Compromise Payment Gateway</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</si>
  <si>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</si>
  <si>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F1047</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</si>
  <si>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</si>
  <si>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</si>
  <si>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F1059</t>
  </si>
  <si>
    <t>Create Counterfeit Card</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</si>
  <si>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</si>
  <si>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F1060</t>
  </si>
  <si>
    <t>Create Fake Materials</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</si>
  <si>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</si>
  <si>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F1062</t>
  </si>
  <si>
    <t>Create Fake Materials: Fake Documents</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</si>
  <si>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and insurance policies, which may be either fully counterfeit or subtly modified to evade detection.</t>
  </si>
  <si>
    <t>F1061</t>
  </si>
  <si>
    <t>Create Fake Materials: Fake e-Commerce Website</t>
  </si>
  <si>
    <t>Fraud actors may create fraudulent e-commerce websites to capture payment information or steal credentials. Fake e-commerce sites may mimic legitimate retailers, advertise products with no intention of delivery, or simply harvest payment card information during checkout. These sites may be promoted through malicious advertisements, search engine optimization, or social media campaigns to attract victims.</t>
  </si>
  <si>
    <t>T1555</t>
  </si>
  <si>
    <t>Credentials from Password Stores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</si>
  <si>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</si>
  <si>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Reconnaissance</t>
  </si>
  <si>
    <t>T1555.003</t>
  </si>
  <si>
    <t>Credentials from Password Stores: Credentials from Web Browsers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</si>
  <si>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</si>
  <si>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T1555.005</t>
  </si>
  <si>
    <t>Credentials from Password Stores: Password Managers</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</si>
  <si>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</si>
  <si>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F1063</t>
  </si>
  <si>
    <t>Delete Relevant Emails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</si>
  <si>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</si>
  <si>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F1064</t>
  </si>
  <si>
    <t>Device Fingerprint Spoofing</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</si>
  <si>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</si>
  <si>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T1189</t>
  </si>
  <si>
    <t>Drive-by Compromise</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</si>
  <si>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</si>
  <si>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T1667</t>
  </si>
  <si>
    <t>Email Bombing</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</si>
  <si>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</si>
  <si>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T1672</t>
  </si>
  <si>
    <t>Email Spoofing</t>
  </si>
  <si>
    <t>Technique used by fraud actors to misrepresent the sender's email address, making it seem as if the email originates from a trusted or reliable source. The intent is to deceive the recipient (victim) into thinking the message is genuine, prompting them to click on malicious links, download and execute attachments with malware, share confidential information or execute fraudulent activity. This technique is frequently utilized in phishing scams to trick individuals into becoming victims of fraud or malware.</t>
  </si>
  <si>
    <t>T1585</t>
  </si>
  <si>
    <t>Establish Accounts</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</si>
  <si>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</si>
  <si>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F1066</t>
  </si>
  <si>
    <t>Falsify Business Documents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</si>
  <si>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</si>
  <si>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F1048</t>
  </si>
  <si>
    <t>Fradulent Purchasing</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</si>
  <si>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</si>
  <si>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F1067</t>
  </si>
  <si>
    <t>Gather Victim Information</t>
  </si>
  <si>
    <t>Fraud actors may gather information about victims to support targeted fraud operations or social engineering attacks. This may include collecting personal information, financial information, relationship information, or behavioral information from public sources, data breaches, social media, or social engineering. Gathered information enables more convincing and targeted fraud attacks.</t>
  </si>
  <si>
    <t>F1068</t>
  </si>
  <si>
    <t>Geolocation Spoofing</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</si>
  <si>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</si>
  <si>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F1069</t>
  </si>
  <si>
    <t>Identity Theft for Merchant Accounts</t>
  </si>
  <si>
    <t>Fraud actors may use stolen identity information to establish fraudulent merchant accounts with payment processors. Fraudulent merchant accounts allow Fraud actors to process payments for non-existent goods or services, conduct money laundering operations, or establish infrastructure for payment card testing. Identity theft for merchant accounts provides fraud actors with legitimate-appearing payment processing capabilities.</t>
  </si>
  <si>
    <t>F1070</t>
  </si>
  <si>
    <t>Impersonate Account Holder</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</si>
  <si>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</si>
  <si>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Initial Access, Defense Evasion</t>
  </si>
  <si>
    <t>F1071</t>
  </si>
  <si>
    <t>Impersonate Official</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</si>
  <si>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</si>
  <si>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T1070</t>
  </si>
  <si>
    <t>Indicator Removal</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</si>
  <si>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</si>
  <si>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F1072</t>
  </si>
  <si>
    <t>Insider Access Abuse</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</si>
  <si>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</si>
  <si>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F1073</t>
  </si>
  <si>
    <t>IVR Discovery</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</si>
  <si>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</si>
  <si>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F1074</t>
  </si>
  <si>
    <t>Mail Theft</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</si>
  <si>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</si>
  <si>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T1111</t>
  </si>
  <si>
    <t>Multi-Factor Authentication Interception</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</si>
  <si>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</si>
  <si>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T1621</t>
  </si>
  <si>
    <t>Multi-Factor Authentication Request Generation</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</si>
  <si>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</si>
  <si>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F1089</t>
  </si>
  <si>
    <t>New Vendor Setup</t>
  </si>
  <si>
    <t>Fraud actors pretend to be existing or new vendors to trick organizations into paying fraudulent accounts. New vendor setup can be done through fake invoices, requests for banking information changes, or urgent payment requests.</t>
  </si>
  <si>
    <t>F1090</t>
  </si>
  <si>
    <t>NFC Payment</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</si>
  <si>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</si>
  <si>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F1077</t>
  </si>
  <si>
    <t>Official Phone Number Spoofing</t>
  </si>
  <si>
    <t>Fraud actors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</si>
  <si>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F1091</t>
  </si>
  <si>
    <t>PAN/CVV Generation</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</si>
  <si>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</si>
  <si>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F1092</t>
  </si>
  <si>
    <t>PaReq Manipulation</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</si>
  <si>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</si>
  <si>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T1598</t>
  </si>
  <si>
    <t>Phishing for Information</t>
  </si>
  <si>
    <t>Fraud actors may send fraudulent communications designed to deceive victims into providing sensitive information, credentials, or payment information. Phishing may be conducted through email, SMS smishing, voice calls vishing, QR codes quishing, or other communication channels. Phishing messages typically impersonate trusted entities and create urgency to pressure victims into immediate action without careful consideration.</t>
  </si>
  <si>
    <t>T1598.004</t>
  </si>
  <si>
    <t>Phishing for Information: Spearphishing Voice</t>
  </si>
  <si>
    <t xml:space="preserve">Fraud actors may use voice communications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Impersonation) and/or creating a sense of urgency or alarm for the recipient.
All forms of phishing are electronically delivered social engineering. In this scenario, fraud actors use phone calls to elicit sensitive information from victims. Known as voice phishing (or "vishing"), these communications can be manually executed by fraud actors, hired call centers, or even automated via robocalls. Voice phishers may spoof their phone number while also posing as a trusted entity, such as a business partner or technical support staff.
Victims may also receive phishing messages that direct them to call a phone number ("callback phishing") where the fraud actor attempts to collect confidential information.
Fraud actors may also use information from previous reconnaissance efforts to tailor pretexts to be even more persuasive and believable for the victim.
</t>
  </si>
  <si>
    <t>F1082</t>
  </si>
  <si>
    <t>PIN-code Peeking</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</si>
  <si>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</si>
  <si>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F1084</t>
  </si>
  <si>
    <t>QR Code Poisoning</t>
  </si>
  <si>
    <t>A social engineering attack vector disguised within a QR code, typically a "Login with QR Code" feature that presents a secure way to log into account, but enables fraud actors to highjack all applications relying on the compromised credentials.</t>
  </si>
  <si>
    <t>F1085</t>
  </si>
  <si>
    <t>Reactivate Account</t>
  </si>
  <si>
    <t>Fraud actors target inactive accounts because they are less likely to be monitored closely by the account holder or financial institution. They may attempt to reactivate the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</si>
  <si>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T1219</t>
  </si>
  <si>
    <t>Remote Access Tools</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</si>
  <si>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</si>
  <si>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F1094</t>
  </si>
  <si>
    <t>Reversal of Transaction</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</si>
  <si>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mya allow them to obtain the goods or services without actually paying for them, effectively evading detection and potentially causing financial loss to the legitimate party involved.</t>
  </si>
  <si>
    <t>F1095</t>
  </si>
  <si>
    <t>Scheduled Transfer</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</si>
  <si>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</si>
  <si>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T1113</t>
  </si>
  <si>
    <t>Screen Capture</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</si>
  <si>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</si>
  <si>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</si>
  <si>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</si>
  <si>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</si>
  <si>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F1086</t>
  </si>
  <si>
    <t>Social Engineering</t>
  </si>
  <si>
    <t>Fraud actors may manipulate individuals into divulging sensitive information, authorizing transactions, or taking actions that compromise security. Social engineering exploits human psychology, trust, authority, fear, or urgency rather than technical vulnerabilities. Social engineering may be conducted through various communication channels and is often combined with other techniques to establish credibility or create pressure for immediate action.</t>
  </si>
  <si>
    <t>T1608</t>
  </si>
  <si>
    <t>Stage Capabilities</t>
  </si>
  <si>
    <t>Fraud actors may upload malicious content, establish fraud infrastructure, or position resources for delivery to victims. This may include hosting phishing websites, establishing command and control infrastructure, uploading malicious applications to app stores, or creating social media profiles for fraud operations. Staging activities prepare the technical infrastructure needed to execute fraud operations.</t>
  </si>
  <si>
    <t>T1608.006</t>
  </si>
  <si>
    <t>Stage Capabilities: SEO Poisoning</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</si>
  <si>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</si>
  <si>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T1539</t>
  </si>
  <si>
    <t>Steal Web Session Cookie</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</si>
  <si>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</si>
  <si>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Reconnaissance, Positioning</t>
  </si>
  <si>
    <t>F1087</t>
  </si>
  <si>
    <t>Structuring</t>
  </si>
  <si>
    <t>Parceling large transactions, locations or other account activity to subvert fraud detection and CTR/SAR reporting. Fraud actors will use structuring to keep their fraudulent activity from detection or alerts.</t>
  </si>
  <si>
    <t>T1195</t>
  </si>
  <si>
    <t>Supply Chain Compromise</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</si>
  <si>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</si>
  <si>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F1096</t>
  </si>
  <si>
    <t>Testing Payment Thresholds</t>
  </si>
  <si>
    <t>Fraud actors conduct small-scale transactions to identify vulnerable accounts with sufficient funds. By staying within the payment thresholds, they avoid raising suspicion while accumulating information. This approach enables them to strategically target accounts with significant balances for larger-scale fraudulent activities.</t>
  </si>
  <si>
    <t>Use Alternate Authentication Material</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</si>
  <si>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</si>
  <si>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T1555.002</t>
  </si>
  <si>
    <t>Use Alternate Authentication Material: Application Access Token</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</si>
  <si>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</si>
  <si>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F1097</t>
  </si>
  <si>
    <t>Use Virtual Cards</t>
  </si>
  <si>
    <t>Fraud actors use virtual cards for money laundering because they provide anonymity, flexibility, and ease of use in online transactions. Virtual cards are often obtained with less stringent identity verification, making it easier to conceal illicit financial activities. Their disposability allows fraud actors to use them for a series of transactions and then discard them, reducing traceability.
These cards are beneficial for cross-border transactions, enabling fraud actors to move funds quickly across jurisdictions, and complicating efforts to track money flows. Virtual cards can also be employed to create complex layers of transactions, often used in "layering" within money laundering schemes to obscure the origin of funds. This flexibility makes virtual cards a convenient tool for converting illicit funds into legitimate assets without raising suspicion.</t>
  </si>
  <si>
    <t>F1098</t>
  </si>
  <si>
    <t>Website Cloning</t>
  </si>
  <si>
    <t>Website cloning is a technique whereby cybercriminals create a replica of a legitimate website with the intent to deceive visitors. The cloned website mimics the design, layout, and functionality of the original site, but is controlled by the fraud actor. Users are often directed to these fraudulent sites via phishing emails, social media links, or through search engine manipulation. Once on the cloned site, visitors may unknowingly provide sensitive information such as login credentials, financial data, or personal details.
Execution: 
Fraudsters create a cloned website by copying the source code of the legitimate site and hosting it on a different server, often with a similar domain name designed to confuse potential victims (a practice known as "typosquatting"). They might also inject malicious scripts into the cloned site for additional nefarious activities, such as capturing keystrokes or redirecting payments.
Examples:
An imposter copies a bank's website to a domain that is off by one letter, hoping customers will not notice the URL difference and will enter their online banking credentials.
Cloning an online retailer's website around the holiday shopping season, tricking shoppers into "purchasing" high-demand items that will never be shipped‚ while collecting their credit card information.
Creating a duplicate of a popular software download site to distribute malware-laden versions of the software.
Goals: The primary goals of website cloning are to:
Capture sensitive information from users by convincing them they are interacting with the legitimate site.
Facilitate financial fraud by misleading customers into making payments or donations, which are then rerouted to the fraudster.
Distribute malware that can result in further exploitation of the victim's device for financial gain, data theft, or unauthorized access to secure networks.
Damage the reputation and trust of the legitimate site owner, which can have long-term business consequences.</t>
  </si>
  <si>
    <t>F1044</t>
  </si>
  <si>
    <t>Withdraw Money</t>
  </si>
  <si>
    <t xml:space="preserve">Fraudsters may convert compromised account balances into physical funds by initiating in‑person cash movements such as ATM withdrawals, cashier’s checks, money orders, or similar instruments. These withdrawals remove value from financial accounts in ways that can be quickly spent, transported, or layered through additional transactions to obscure the origin of the funds.
</t>
  </si>
  <si>
    <t>F1044.002</t>
  </si>
  <si>
    <t>Withdraw Money: Electronic Withdrawal</t>
  </si>
  <si>
    <t xml:space="preserve">Fraudsters may deplete compromised accounts by initiating electronic fund movements such as wire transfers, regional payment rails (ACH or SEPA), other electronic funds transfers, or conversion of balances into cryptocurrency. These withdrawals move value rapidly across payment rails or into pseudo‑anonymous assets, making recovery and tracing of funds more difficult.
</t>
  </si>
  <si>
    <t>F1044.001</t>
  </si>
  <si>
    <t>Withdraw Money: Physical Withdrawal</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</si>
  <si>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</si>
  <si>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F1099</t>
  </si>
  <si>
    <t>Withdrawal by Legitimate Account Owner</t>
  </si>
  <si>
    <t>Fraud actors may exploit the Withdrawal by Legitimate Account Owner defence to evade detection by conducting illicit transactions that appear legitimate on the surface. They might coerce or deceive account holders into making withdrawals or transfers under false pretences, using their legitimate access to financial accounts. By leveraging this defence, fraud actors can obscure their illicit activities, making it harder for authorities to identify and prosecute them, as the transactions initially appear to be authorized by the account owner.</t>
  </si>
  <si>
    <t>Tactic Description</t>
  </si>
  <si>
    <t>TA0043</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</si>
  <si>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</si>
  <si>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TA0042</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</si>
  <si>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</si>
  <si>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TA0001</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</si>
  <si>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</si>
  <si>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TA0005</t>
  </si>
  <si>
    <t>The fraud actor's actions to avoid being detected.
Defense Evasion consists of techniques that fraud actors use to avoid detection throughout their compromise. Techniques used for defense evasion include phone number spoofing or social engineering. Fraud actors also leverage and abuse trusted processes to hide and masquerade their activities. Other tactics’ techniques are cross-listed here when those techniques include the added benefit of subverting defenses.</t>
  </si>
  <si>
    <t>FA0001</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</si>
  <si>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</si>
  <si>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TA0002</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</si>
  <si>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</si>
  <si>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FA0002</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</si>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</sst>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n">
          <color auto="1"/>
        </bottom>
      </border>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65" totalsRowShown="0" headerRowDxfId="10" dataDxfId="9" headerRowBorderDxfId="7" tableBorderDxfId="8">
  <autoFilter ref="A1:G1048565" xr:uid="{5829350F-F784-AD40-BAE6-4EE6174009A7}"/>
  <sortState xmlns:xlrd2="http://schemas.microsoft.com/office/spreadsheetml/2017/richdata2" ref="A2:G123">
    <sortCondition ref="B1:B1048565"/>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3"/>
  <sheetViews>
    <sheetView tabSelected="1" workbookViewId="0">
      <pane ySplit="1" topLeftCell="A2" activePane="bottomLeft" state="frozen"/>
      <selection pane="bottomLeft" activeCell="B118" sqref="B118"/>
    </sheetView>
  </sheetViews>
  <sheetFormatPr defaultColWidth="8.85546875" defaultRowHeight="14.45"/>
  <cols>
    <col min="1" max="1" width="16.28515625" style="12" bestFit="1" customWidth="1"/>
    <col min="2" max="2" width="28.85546875" style="12" customWidth="1"/>
    <col min="3" max="3" width="75.7109375" style="12" customWidth="1"/>
    <col min="4" max="4" width="8.42578125" style="12" customWidth="1"/>
    <col min="5" max="5" width="13.85546875" style="12" customWidth="1"/>
    <col min="6" max="6" width="28.42578125" style="12" customWidth="1"/>
    <col min="7" max="7" width="30.28515625" style="12" customWidth="1"/>
  </cols>
  <sheetData>
    <row r="1" spans="1:7">
      <c r="A1" s="1" t="s">
        <v>0</v>
      </c>
      <c r="B1" s="2" t="s">
        <v>1</v>
      </c>
      <c r="C1" s="4" t="s">
        <v>2</v>
      </c>
      <c r="D1" s="2" t="s">
        <v>3</v>
      </c>
      <c r="E1" s="2" t="s">
        <v>4</v>
      </c>
      <c r="F1" s="2" t="s">
        <v>5</v>
      </c>
      <c r="G1" s="2" t="s">
        <v>6</v>
      </c>
    </row>
    <row r="2" spans="1:7" ht="101.45">
      <c r="A2" s="12" t="s">
        <v>7</v>
      </c>
      <c r="B2" s="12" t="s">
        <v>8</v>
      </c>
      <c r="C2" s="12" t="s">
        <v>9</v>
      </c>
      <c r="D2" s="12" t="str">
        <f>IF(ISERROR(FIND(",",E2)),INDEX(Tactics!$A$2:$A$8,MATCH(TRIM(E2),Tactics!$B$2:$B$8,0)),_xlfn.TEXTJOIN(", ",TRUE,INDEX(Tactics!$A$2:$A$8,MATCH(TRIM(LEFT(E2,FIND(",",E2)-1)),Tactics!$B$2:$B$8,0)),INDEX(Tactics!$A$2:$A$8,MATCH(TRIM(MID(E2,FIND(",",E2)+1,LEN(E2))),Tactics!$B$2:$B$8,0))))</f>
        <v>TA0005</v>
      </c>
      <c r="E2" s="12" t="s">
        <v>10</v>
      </c>
    </row>
    <row r="3" spans="1:7" ht="101.45">
      <c r="A3" s="12" t="s">
        <v>11</v>
      </c>
      <c r="B3" s="12" t="s">
        <v>12</v>
      </c>
      <c r="C3" s="12" t="s">
        <v>13</v>
      </c>
      <c r="D3" s="12" t="str">
        <f>IF(ISERROR(FIND(",",E3)),INDEX(Tactics!$A$2:$A$8,MATCH(TRIM(E3),Tactics!$B$2:$B$8,0)),_xlfn.TEXTJOIN(", ",TRUE,INDEX(Tactics!$A$2:$A$8,MATCH(TRIM(LEFT(E3,FIND(",",E3)-1)),Tactics!$B$2:$B$8,0)),INDEX(Tactics!$A$2:$A$8,MATCH(TRIM(MID(E3,FIND(",",E3)+1,LEN(E3))),Tactics!$B$2:$B$8,0))))</f>
        <v>FA0001</v>
      </c>
      <c r="E3" s="12" t="s">
        <v>14</v>
      </c>
    </row>
    <row r="4" spans="1:7" ht="72.599999999999994">
      <c r="A4" s="12" t="s">
        <v>15</v>
      </c>
      <c r="B4" s="12" t="s">
        <v>16</v>
      </c>
      <c r="C4" s="12" t="s">
        <v>17</v>
      </c>
      <c r="D4" s="12" t="str">
        <f>IF(ISERROR(FIND(",",E4)),INDEX(Tactics!$A$2:$A$8,MATCH(TRIM(E4),Tactics!$B$2:$B$8,0)),_xlfn.TEXTJOIN(", ",TRUE,INDEX(Tactics!$A$2:$A$8,MATCH(TRIM(LEFT(E4,FIND(",",E4)-1)),Tactics!$B$2:$B$8,0)),INDEX(Tactics!$A$2:$A$8,MATCH(TRIM(MID(E4,FIND(",",E4)+1,LEN(E4))),Tactics!$B$2:$B$8,0))))</f>
        <v>TA0001, TA0002</v>
      </c>
      <c r="E4" s="12" t="s">
        <v>18</v>
      </c>
    </row>
    <row r="5" spans="1:7" ht="72.599999999999994">
      <c r="A5" s="12" t="s">
        <v>19</v>
      </c>
      <c r="B5" s="12" t="s">
        <v>20</v>
      </c>
      <c r="C5" s="12" t="s">
        <v>21</v>
      </c>
      <c r="D5" s="12" t="str">
        <f>IF(ISERROR(FIND(",",E5)),INDEX(Tactics!$A$2:$A$8,MATCH(TRIM(E5),Tactics!$B$2:$B$8,0)),_xlfn.TEXTJOIN(", ",TRUE,INDEX(Tactics!$A$2:$A$8,MATCH(TRIM(LEFT(E5,FIND(",",E5)-1)),Tactics!$B$2:$B$8,0)),INDEX(Tactics!$A$2:$A$8,MATCH(TRIM(MID(E5,FIND(",",E5)+1,LEN(E5))),Tactics!$B$2:$B$8,0))))</f>
        <v>TA0001, TA0002</v>
      </c>
      <c r="E5" s="12" t="s">
        <v>18</v>
      </c>
    </row>
    <row r="6" spans="1:7" ht="87">
      <c r="A6" s="12" t="s">
        <v>22</v>
      </c>
      <c r="B6" s="12" t="s">
        <v>23</v>
      </c>
      <c r="C6" s="12" t="s">
        <v>24</v>
      </c>
      <c r="D6" s="12" t="str">
        <f>IF(ISERROR(FIND(",",E6)),INDEX(Tactics!$A$2:$A$8,MATCH(TRIM(E6),Tactics!$B$2:$B$8,0)),_xlfn.TEXTJOIN(", ",TRUE,INDEX(Tactics!$A$2:$A$8,MATCH(TRIM(LEFT(E6,FIND(",",E6)-1)),Tactics!$B$2:$B$8,0)),INDEX(Tactics!$A$2:$A$8,MATCH(TRIM(MID(E6,FIND(",",E6)+1,LEN(E6))),Tactics!$B$2:$B$8,0))))</f>
        <v>TA0001, TA0002</v>
      </c>
      <c r="E6" s="12" t="s">
        <v>18</v>
      </c>
    </row>
    <row r="7" spans="1:7" ht="72.599999999999994">
      <c r="A7" s="12" t="s">
        <v>25</v>
      </c>
      <c r="B7" s="12" t="s">
        <v>26</v>
      </c>
      <c r="C7" s="12" t="s">
        <v>27</v>
      </c>
      <c r="D7" s="12" t="str">
        <f>IF(ISERROR(FIND(",",E7)),INDEX(Tactics!$A$2:$A$8,MATCH(TRIM(E7),Tactics!$B$2:$B$8,0)),_xlfn.TEXTJOIN(", ",TRUE,INDEX(Tactics!$A$2:$A$8,MATCH(TRIM(LEFT(E7,FIND(",",E7)-1)),Tactics!$B$2:$B$8,0)),INDEX(Tactics!$A$2:$A$8,MATCH(TRIM(MID(E7,FIND(",",E7)+1,LEN(E7))),Tactics!$B$2:$B$8,0))))</f>
        <v>TA0002</v>
      </c>
      <c r="E7" s="12" t="s">
        <v>28</v>
      </c>
    </row>
    <row r="8" spans="1:7" ht="87">
      <c r="A8" s="12" t="s">
        <v>29</v>
      </c>
      <c r="B8" s="12" t="s">
        <v>30</v>
      </c>
      <c r="C8" s="12" t="s">
        <v>31</v>
      </c>
      <c r="D8" s="12" t="str">
        <f>IF(ISERROR(FIND(",",E8)),INDEX(Tactics!$A$2:$A$8,MATCH(TRIM(E8),Tactics!$B$2:$B$8,0)),_xlfn.TEXTJOIN(", ",TRUE,INDEX(Tactics!$A$2:$A$8,MATCH(TRIM(LEFT(E8,FIND(",",E8)-1)),Tactics!$B$2:$B$8,0)),INDEX(Tactics!$A$2:$A$8,MATCH(TRIM(MID(E8,FIND(",",E8)+1,LEN(E8))),Tactics!$B$2:$B$8,0))))</f>
        <v>TA0001, FA0001</v>
      </c>
      <c r="E8" s="12" t="s">
        <v>32</v>
      </c>
    </row>
    <row r="9" spans="1:7" ht="72.599999999999994">
      <c r="A9" s="12" t="s">
        <v>33</v>
      </c>
      <c r="B9" s="12" t="s">
        <v>34</v>
      </c>
      <c r="C9" s="12" t="s">
        <v>35</v>
      </c>
      <c r="D9" s="12" t="str">
        <f>IF(ISERROR(FIND(",",E9)),INDEX(Tactics!$A$2:$A$8,MATCH(TRIM(E9),Tactics!$B$2:$B$8,0)),_xlfn.TEXTJOIN(", ",TRUE,INDEX(Tactics!$A$2:$A$8,MATCH(TRIM(LEFT(E9,FIND(",",E9)-1)),Tactics!$B$2:$B$8,0)),INDEX(Tactics!$A$2:$A$8,MATCH(TRIM(MID(E9,FIND(",",E9)+1,LEN(E9))),Tactics!$B$2:$B$8,0))))</f>
        <v>TA0001</v>
      </c>
      <c r="E9" s="12" t="s">
        <v>36</v>
      </c>
    </row>
    <row r="10" spans="1:7" ht="72.599999999999994">
      <c r="A10" s="12" t="s">
        <v>37</v>
      </c>
      <c r="B10" s="12" t="s">
        <v>38</v>
      </c>
      <c r="C10" s="12" t="s">
        <v>39</v>
      </c>
      <c r="D10" s="12" t="str">
        <f>IF(ISERROR(FIND(",",E10)),INDEX(Tactics!$A$2:$A$8,MATCH(TRIM(E10),Tactics!$B$2:$B$8,0)),_xlfn.TEXTJOIN(", ",TRUE,INDEX(Tactics!$A$2:$A$8,MATCH(TRIM(LEFT(E10,FIND(",",E10)-1)),Tactics!$B$2:$B$8,0)),INDEX(Tactics!$A$2:$A$8,MATCH(TRIM(MID(E10,FIND(",",E10)+1,LEN(E10))),Tactics!$B$2:$B$8,0))))</f>
        <v>FA0001</v>
      </c>
      <c r="E10" s="12" t="s">
        <v>14</v>
      </c>
    </row>
    <row r="11" spans="1:7" ht="72.599999999999994">
      <c r="A11" s="12" t="s">
        <v>40</v>
      </c>
      <c r="B11" s="12" t="s">
        <v>41</v>
      </c>
      <c r="C11" s="12" t="s">
        <v>42</v>
      </c>
      <c r="D11" s="12" t="str">
        <f>IF(ISERROR(FIND(",",E11)),INDEX(Tactics!$A$2:$A$8,MATCH(TRIM(E11),Tactics!$B$2:$B$8,0)),_xlfn.TEXTJOIN(", ",TRUE,INDEX(Tactics!$A$2:$A$8,MATCH(TRIM(LEFT(E11,FIND(",",E11)-1)),Tactics!$B$2:$B$8,0)),INDEX(Tactics!$A$2:$A$8,MATCH(TRIM(MID(E11,FIND(",",E11)+1,LEN(E11))),Tactics!$B$2:$B$8,0))))</f>
        <v>FA0001</v>
      </c>
      <c r="E11" s="12" t="s">
        <v>14</v>
      </c>
    </row>
    <row r="12" spans="1:7" ht="87">
      <c r="A12" s="12" t="s">
        <v>43</v>
      </c>
      <c r="B12" s="12" t="s">
        <v>44</v>
      </c>
      <c r="C12" s="12" t="s">
        <v>45</v>
      </c>
      <c r="D12" s="12" t="str">
        <f>IF(ISERROR(FIND(",",E12)),INDEX(Tactics!$A$2:$A$8,MATCH(TRIM(E12),Tactics!$B$2:$B$8,0)),_xlfn.TEXTJOIN(", ",TRUE,INDEX(Tactics!$A$2:$A$8,MATCH(TRIM(LEFT(E12,FIND(",",E12)-1)),Tactics!$B$2:$B$8,0)),INDEX(Tactics!$A$2:$A$8,MATCH(TRIM(MID(E12,FIND(",",E12)+1,LEN(E12))),Tactics!$B$2:$B$8,0))))</f>
        <v>FA0001</v>
      </c>
      <c r="E12" s="12" t="s">
        <v>14</v>
      </c>
    </row>
    <row r="13" spans="1:7" ht="87">
      <c r="A13" s="12" t="s">
        <v>46</v>
      </c>
      <c r="B13" s="12" t="s">
        <v>47</v>
      </c>
      <c r="C13" s="12" t="s">
        <v>48</v>
      </c>
      <c r="D13" s="12" t="str">
        <f>IF(ISERROR(FIND(",",E13)),INDEX(Tactics!$A$2:$A$8,MATCH(TRIM(E13),Tactics!$B$2:$B$8,0)),_xlfn.TEXTJOIN(", ",TRUE,INDEX(Tactics!$A$2:$A$8,MATCH(TRIM(LEFT(E13,FIND(",",E13)-1)),Tactics!$B$2:$B$8,0)),INDEX(Tactics!$A$2:$A$8,MATCH(TRIM(MID(E13,FIND(",",E13)+1,LEN(E13))),Tactics!$B$2:$B$8,0))))</f>
        <v>FA0001</v>
      </c>
      <c r="E13" s="12" t="s">
        <v>14</v>
      </c>
    </row>
    <row r="14" spans="1:7" ht="72.599999999999994">
      <c r="A14" s="12" t="s">
        <v>49</v>
      </c>
      <c r="B14" s="12" t="s">
        <v>50</v>
      </c>
      <c r="C14" s="12" t="s">
        <v>51</v>
      </c>
      <c r="D14" s="12" t="str">
        <f>IF(ISERROR(FIND(",",E14)),INDEX(Tactics!$A$2:$A$8,MATCH(TRIM(E14),Tactics!$B$2:$B$8,0)),_xlfn.TEXTJOIN(", ",TRUE,INDEX(Tactics!$A$2:$A$8,MATCH(TRIM(LEFT(E14,FIND(",",E14)-1)),Tactics!$B$2:$B$8,0)),INDEX(Tactics!$A$2:$A$8,MATCH(TRIM(MID(E14,FIND(",",E14)+1,LEN(E14))),Tactics!$B$2:$B$8,0))))</f>
        <v>FA0001</v>
      </c>
      <c r="E14" s="12" t="s">
        <v>14</v>
      </c>
    </row>
    <row r="15" spans="1:7" ht="72.599999999999994">
      <c r="A15" s="12" t="s">
        <v>52</v>
      </c>
      <c r="B15" s="12" t="s">
        <v>53</v>
      </c>
      <c r="C15" s="12" t="s">
        <v>54</v>
      </c>
      <c r="D15" s="12" t="str">
        <f>IF(ISERROR(FIND(",",E15)),INDEX(Tactics!$A$2:$A$8,MATCH(TRIM(E15),Tactics!$B$2:$B$8,0)),_xlfn.TEXTJOIN(", ",TRUE,INDEX(Tactics!$A$2:$A$8,MATCH(TRIM(LEFT(E15,FIND(",",E15)-1)),Tactics!$B$2:$B$8,0)),INDEX(Tactics!$A$2:$A$8,MATCH(TRIM(MID(E15,FIND(",",E15)+1,LEN(E15))),Tactics!$B$2:$B$8,0))))</f>
        <v>FA0001</v>
      </c>
      <c r="E15" s="12" t="s">
        <v>14</v>
      </c>
    </row>
    <row r="16" spans="1:7" ht="72.599999999999994">
      <c r="A16" s="12" t="s">
        <v>55</v>
      </c>
      <c r="B16" s="12" t="s">
        <v>56</v>
      </c>
      <c r="C16" s="12" t="s">
        <v>57</v>
      </c>
      <c r="D16" s="12" t="str">
        <f>IF(ISERROR(FIND(",",E16)),INDEX(Tactics!$A$2:$A$8,MATCH(TRIM(E16),Tactics!$B$2:$B$8,0)),_xlfn.TEXTJOIN(", ",TRUE,INDEX(Tactics!$A$2:$A$8,MATCH(TRIM(LEFT(E16,FIND(",",E16)-1)),Tactics!$B$2:$B$8,0)),INDEX(Tactics!$A$2:$A$8,MATCH(TRIM(MID(E16,FIND(",",E16)+1,LEN(E16))),Tactics!$B$2:$B$8,0))))</f>
        <v>FA0001</v>
      </c>
      <c r="E16" s="12" t="s">
        <v>14</v>
      </c>
    </row>
    <row r="17" spans="1:5" ht="72.599999999999994">
      <c r="A17" s="12" t="s">
        <v>58</v>
      </c>
      <c r="B17" s="12" t="s">
        <v>59</v>
      </c>
      <c r="C17" s="12" t="s">
        <v>60</v>
      </c>
      <c r="D17" s="12" t="str">
        <f>IF(ISERROR(FIND(",",E17)),INDEX(Tactics!$A$2:$A$8,MATCH(TRIM(E17),Tactics!$B$2:$B$8,0)),_xlfn.TEXTJOIN(", ",TRUE,INDEX(Tactics!$A$2:$A$8,MATCH(TRIM(LEFT(E17,FIND(",",E17)-1)),Tactics!$B$2:$B$8,0)),INDEX(Tactics!$A$2:$A$8,MATCH(TRIM(MID(E17,FIND(",",E17)+1,LEN(E17))),Tactics!$B$2:$B$8,0))))</f>
        <v>FA0001</v>
      </c>
      <c r="E17" s="12" t="s">
        <v>14</v>
      </c>
    </row>
    <row r="18" spans="1:5" ht="72.599999999999994">
      <c r="A18" s="12" t="s">
        <v>61</v>
      </c>
      <c r="B18" s="12" t="s">
        <v>62</v>
      </c>
      <c r="C18" s="12" t="s">
        <v>63</v>
      </c>
      <c r="D18" s="12" t="str">
        <f>IF(ISERROR(FIND(",",E18)),INDEX(Tactics!$A$2:$A$8,MATCH(TRIM(E18),Tactics!$B$2:$B$8,0)),_xlfn.TEXTJOIN(", ",TRUE,INDEX(Tactics!$A$2:$A$8,MATCH(TRIM(LEFT(E18,FIND(",",E18)-1)),Tactics!$B$2:$B$8,0)),INDEX(Tactics!$A$2:$A$8,MATCH(TRIM(MID(E18,FIND(",",E18)+1,LEN(E18))),Tactics!$B$2:$B$8,0))))</f>
        <v>FA0001</v>
      </c>
      <c r="E18" s="12" t="s">
        <v>14</v>
      </c>
    </row>
    <row r="19" spans="1:5" ht="72.599999999999994">
      <c r="A19" s="12" t="s">
        <v>64</v>
      </c>
      <c r="B19" s="12" t="s">
        <v>65</v>
      </c>
      <c r="C19" s="12" t="s">
        <v>66</v>
      </c>
      <c r="D19" s="12" t="str">
        <f>IF(ISERROR(FIND(",",E19)),INDEX(Tactics!$A$2:$A$8,MATCH(TRIM(E19),Tactics!$B$2:$B$8,0)),_xlfn.TEXTJOIN(", ",TRUE,INDEX(Tactics!$A$2:$A$8,MATCH(TRIM(LEFT(E19,FIND(",",E19)-1)),Tactics!$B$2:$B$8,0)),INDEX(Tactics!$A$2:$A$8,MATCH(TRIM(MID(E19,FIND(",",E19)+1,LEN(E19))),Tactics!$B$2:$B$8,0))))</f>
        <v>FA0001</v>
      </c>
      <c r="E19" s="12" t="s">
        <v>14</v>
      </c>
    </row>
    <row r="20" spans="1:5" ht="72.599999999999994">
      <c r="A20" s="12" t="s">
        <v>67</v>
      </c>
      <c r="B20" s="12" t="s">
        <v>68</v>
      </c>
      <c r="C20" s="12" t="s">
        <v>69</v>
      </c>
      <c r="D20" s="12" t="str">
        <f>IF(ISERROR(FIND(",",E20)),INDEX(Tactics!$A$2:$A$8,MATCH(TRIM(E20),Tactics!$B$2:$B$8,0)),_xlfn.TEXTJOIN(", ",TRUE,INDEX(Tactics!$A$2:$A$8,MATCH(TRIM(LEFT(E20,FIND(",",E20)-1)),Tactics!$B$2:$B$8,0)),INDEX(Tactics!$A$2:$A$8,MATCH(TRIM(MID(E20,FIND(",",E20)+1,LEN(E20))),Tactics!$B$2:$B$8,0))))</f>
        <v>FA0001</v>
      </c>
      <c r="E20" s="12" t="s">
        <v>14</v>
      </c>
    </row>
    <row r="21" spans="1:5" ht="72.599999999999994">
      <c r="A21" s="12" t="s">
        <v>70</v>
      </c>
      <c r="B21" s="12" t="s">
        <v>71</v>
      </c>
      <c r="C21" s="12" t="s">
        <v>72</v>
      </c>
      <c r="D21" s="12" t="str">
        <f>IF(ISERROR(FIND(",",E21)),INDEX(Tactics!$A$2:$A$8,MATCH(TRIM(E21),Tactics!$B$2:$B$8,0)),_xlfn.TEXTJOIN(", ",TRUE,INDEX(Tactics!$A$2:$A$8,MATCH(TRIM(LEFT(E21,FIND(",",E21)-1)),Tactics!$B$2:$B$8,0)),INDEX(Tactics!$A$2:$A$8,MATCH(TRIM(MID(E21,FIND(",",E21)+1,LEN(E21))),Tactics!$B$2:$B$8,0))))</f>
        <v>FA0001</v>
      </c>
      <c r="E21" s="12" t="s">
        <v>14</v>
      </c>
    </row>
    <row r="22" spans="1:5" ht="87">
      <c r="A22" s="12" t="s">
        <v>73</v>
      </c>
      <c r="B22" s="12" t="s">
        <v>74</v>
      </c>
      <c r="C22" s="12" t="s">
        <v>75</v>
      </c>
      <c r="D22" s="12" t="str">
        <f>IF(ISERROR(FIND(",",E22)),INDEX(Tactics!$A$2:$A$8,MATCH(TRIM(E22),Tactics!$B$2:$B$8,0)),_xlfn.TEXTJOIN(", ",TRUE,INDEX(Tactics!$A$2:$A$8,MATCH(TRIM(LEFT(E22,FIND(",",E22)-1)),Tactics!$B$2:$B$8,0)),INDEX(Tactics!$A$2:$A$8,MATCH(TRIM(MID(E22,FIND(",",E22)+1,LEN(E22))),Tactics!$B$2:$B$8,0))))</f>
        <v>TA0001</v>
      </c>
      <c r="E22" s="12" t="s">
        <v>36</v>
      </c>
    </row>
    <row r="23" spans="1:5" ht="174">
      <c r="A23" s="12" t="s">
        <v>76</v>
      </c>
      <c r="B23" s="12" t="s">
        <v>77</v>
      </c>
      <c r="C23" s="12" t="s">
        <v>78</v>
      </c>
      <c r="D23" s="12" t="str">
        <f>IF(ISERROR(FIND(",",E23)),INDEX(Tactics!$A$2:$A$8,MATCH(TRIM(E23),Tactics!$B$2:$B$8,0)),_xlfn.TEXTJOIN(", ",TRUE,INDEX(Tactics!$A$2:$A$8,MATCH(TRIM(LEFT(E23,FIND(",",E23)-1)),Tactics!$B$2:$B$8,0)),INDEX(Tactics!$A$2:$A$8,MATCH(TRIM(MID(E23,FIND(",",E23)+1,LEN(E23))),Tactics!$B$2:$B$8,0))))</f>
        <v>TA0001</v>
      </c>
      <c r="E23" s="12" t="s">
        <v>36</v>
      </c>
    </row>
    <row r="24" spans="1:5" ht="174">
      <c r="A24" s="12" t="s">
        <v>79</v>
      </c>
      <c r="B24" s="12" t="s">
        <v>80</v>
      </c>
      <c r="C24" s="12" t="s">
        <v>81</v>
      </c>
      <c r="D24" s="12" t="str">
        <f>IF(ISERROR(FIND(",",E24)),INDEX(Tactics!$A$2:$A$8,MATCH(TRIM(E24),Tactics!$B$2:$B$8,0)),_xlfn.TEXTJOIN(", ",TRUE,INDEX(Tactics!$A$2:$A$8,MATCH(TRIM(LEFT(E24,FIND(",",E24)-1)),Tactics!$B$2:$B$8,0)),INDEX(Tactics!$A$2:$A$8,MATCH(TRIM(MID(E24,FIND(",",E24)+1,LEN(E24))),Tactics!$B$2:$B$8,0))))</f>
        <v>TA0001</v>
      </c>
      <c r="E24" s="12" t="s">
        <v>36</v>
      </c>
    </row>
    <row r="25" spans="1:5" ht="101.45">
      <c r="A25" s="12" t="s">
        <v>82</v>
      </c>
      <c r="B25" s="12" t="s">
        <v>83</v>
      </c>
      <c r="C25" s="12" t="s">
        <v>84</v>
      </c>
      <c r="D25" s="12" t="str">
        <f>IF(ISERROR(FIND(",",E25)),INDEX(Tactics!$A$2:$A$8,MATCH(TRIM(E25),Tactics!$B$2:$B$8,0)),_xlfn.TEXTJOIN(", ",TRUE,INDEX(Tactics!$A$2:$A$8,MATCH(TRIM(LEFT(E25,FIND(",",E25)-1)),Tactics!$B$2:$B$8,0)),INDEX(Tactics!$A$2:$A$8,MATCH(TRIM(MID(E25,FIND(",",E25)+1,LEN(E25))),Tactics!$B$2:$B$8,0))))</f>
        <v>TA0001</v>
      </c>
      <c r="E25" s="12" t="s">
        <v>36</v>
      </c>
    </row>
    <row r="26" spans="1:5" ht="72.599999999999994">
      <c r="A26" s="12" t="s">
        <v>85</v>
      </c>
      <c r="B26" s="12" t="s">
        <v>86</v>
      </c>
      <c r="C26" s="12" t="s">
        <v>87</v>
      </c>
      <c r="D26" s="12" t="str">
        <f>IF(ISERROR(FIND(",",E26)),INDEX(Tactics!$A$2:$A$8,MATCH(TRIM(E26),Tactics!$B$2:$B$8,0)),_xlfn.TEXTJOIN(", ",TRUE,INDEX(Tactics!$A$2:$A$8,MATCH(TRIM(LEFT(E26,FIND(",",E26)-1)),Tactics!$B$2:$B$8,0)),INDEX(Tactics!$A$2:$A$8,MATCH(TRIM(MID(E26,FIND(",",E26)+1,LEN(E26))),Tactics!$B$2:$B$8,0))))</f>
        <v>TA0002</v>
      </c>
      <c r="E26" s="12" t="s">
        <v>28</v>
      </c>
    </row>
    <row r="27" spans="1:5" ht="87">
      <c r="A27" s="12" t="s">
        <v>88</v>
      </c>
      <c r="B27" s="12" t="s">
        <v>89</v>
      </c>
      <c r="C27" s="12" t="s">
        <v>90</v>
      </c>
      <c r="D27" s="12" t="str">
        <f>IF(ISERROR(FIND(",",E27)),INDEX(Tactics!$A$2:$A$8,MATCH(TRIM(E27),Tactics!$B$2:$B$8,0)),_xlfn.TEXTJOIN(", ",TRUE,INDEX(Tactics!$A$2:$A$8,MATCH(TRIM(LEFT(E27,FIND(",",E27)-1)),Tactics!$B$2:$B$8,0)),INDEX(Tactics!$A$2:$A$8,MATCH(TRIM(MID(E27,FIND(",",E27)+1,LEN(E27))),Tactics!$B$2:$B$8,0))))</f>
        <v>TA0042</v>
      </c>
      <c r="E27" s="12" t="s">
        <v>91</v>
      </c>
    </row>
    <row r="28" spans="1:5" ht="87">
      <c r="A28" s="12" t="s">
        <v>92</v>
      </c>
      <c r="B28" s="12" t="s">
        <v>93</v>
      </c>
      <c r="C28" s="12" t="s">
        <v>94</v>
      </c>
      <c r="D28" s="12" t="str">
        <f>IF(ISERROR(FIND(",",E28)),INDEX(Tactics!$A$2:$A$8,MATCH(TRIM(E28),Tactics!$B$2:$B$8,0)),_xlfn.TEXTJOIN(", ",TRUE,INDEX(Tactics!$A$2:$A$8,MATCH(TRIM(LEFT(E28,FIND(",",E28)-1)),Tactics!$B$2:$B$8,0)),INDEX(Tactics!$A$2:$A$8,MATCH(TRIM(MID(E28,FIND(",",E28)+1,LEN(E28))),Tactics!$B$2:$B$8,0))))</f>
        <v>TA0042</v>
      </c>
      <c r="E28" s="12" t="s">
        <v>91</v>
      </c>
    </row>
    <row r="29" spans="1:5" ht="72.599999999999994">
      <c r="A29" s="12" t="s">
        <v>95</v>
      </c>
      <c r="B29" s="12" t="s">
        <v>96</v>
      </c>
      <c r="C29" s="12" t="s">
        <v>97</v>
      </c>
      <c r="D29" s="12" t="str">
        <f>IF(ISERROR(FIND(",",E29)),INDEX(Tactics!$A$2:$A$8,MATCH(TRIM(E29),Tactics!$B$2:$B$8,0)),_xlfn.TEXTJOIN(", ",TRUE,INDEX(Tactics!$A$2:$A$8,MATCH(TRIM(LEFT(E29,FIND(",",E29)-1)),Tactics!$B$2:$B$8,0)),INDEX(Tactics!$A$2:$A$8,MATCH(TRIM(MID(E29,FIND(",",E29)+1,LEN(E29))),Tactics!$B$2:$B$8,0))))</f>
        <v>TA0042</v>
      </c>
      <c r="E29" s="12" t="s">
        <v>91</v>
      </c>
    </row>
    <row r="30" spans="1:5" ht="87">
      <c r="A30" s="12" t="s">
        <v>98</v>
      </c>
      <c r="B30" s="12" t="s">
        <v>99</v>
      </c>
      <c r="C30" s="12" t="s">
        <v>100</v>
      </c>
      <c r="D30" s="12" t="str">
        <f>IF(ISERROR(FIND(",",E30)),INDEX(Tactics!$A$2:$A$8,MATCH(TRIM(E30),Tactics!$B$2:$B$8,0)),_xlfn.TEXTJOIN(", ",TRUE,INDEX(Tactics!$A$2:$A$8,MATCH(TRIM(LEFT(E30,FIND(",",E30)-1)),Tactics!$B$2:$B$8,0)),INDEX(Tactics!$A$2:$A$8,MATCH(TRIM(MID(E30,FIND(",",E30)+1,LEN(E30))),Tactics!$B$2:$B$8,0))))</f>
        <v>TA0042</v>
      </c>
      <c r="E30" s="12" t="s">
        <v>91</v>
      </c>
    </row>
    <row r="31" spans="1:5" ht="72.599999999999994">
      <c r="A31" s="12" t="s">
        <v>101</v>
      </c>
      <c r="B31" s="12" t="s">
        <v>102</v>
      </c>
      <c r="C31" s="12" t="s">
        <v>103</v>
      </c>
      <c r="D31" s="12" t="str">
        <f>IF(ISERROR(FIND(",",E31)),INDEX(Tactics!$A$2:$A$8,MATCH(TRIM(E31),Tactics!$B$2:$B$8,0)),_xlfn.TEXTJOIN(", ",TRUE,INDEX(Tactics!$A$2:$A$8,MATCH(TRIM(LEFT(E31,FIND(",",E31)-1)),Tactics!$B$2:$B$8,0)),INDEX(Tactics!$A$2:$A$8,MATCH(TRIM(MID(E31,FIND(",",E31)+1,LEN(E31))),Tactics!$B$2:$B$8,0))))</f>
        <v>TA0042</v>
      </c>
      <c r="E31" s="12" t="s">
        <v>91</v>
      </c>
    </row>
    <row r="32" spans="1:5" ht="87">
      <c r="A32" s="12" t="s">
        <v>104</v>
      </c>
      <c r="B32" s="12" t="s">
        <v>105</v>
      </c>
      <c r="C32" s="12" t="s">
        <v>106</v>
      </c>
      <c r="D32" s="12" t="str">
        <f>IF(ISERROR(FIND(",",E32)),INDEX(Tactics!$A$2:$A$8,MATCH(TRIM(E32),Tactics!$B$2:$B$8,0)),_xlfn.TEXTJOIN(", ",TRUE,INDEX(Tactics!$A$2:$A$8,MATCH(TRIM(LEFT(E32,FIND(",",E32)-1)),Tactics!$B$2:$B$8,0)),INDEX(Tactics!$A$2:$A$8,MATCH(TRIM(MID(E32,FIND(",",E32)+1,LEN(E32))),Tactics!$B$2:$B$8,0))))</f>
        <v>TA0001, FA0001</v>
      </c>
      <c r="E32" s="12" t="s">
        <v>32</v>
      </c>
    </row>
    <row r="33" spans="1:5" ht="72.599999999999994">
      <c r="A33" s="12" t="s">
        <v>107</v>
      </c>
      <c r="B33" s="12" t="s">
        <v>108</v>
      </c>
      <c r="C33" s="12" t="s">
        <v>109</v>
      </c>
      <c r="D33" s="12" t="str">
        <f>IF(ISERROR(FIND(",",E33)),INDEX(Tactics!$A$2:$A$8,MATCH(TRIM(E33),Tactics!$B$2:$B$8,0)),_xlfn.TEXTJOIN(", ",TRUE,INDEX(Tactics!$A$2:$A$8,MATCH(TRIM(LEFT(E33,FIND(",",E33)-1)),Tactics!$B$2:$B$8,0)),INDEX(Tactics!$A$2:$A$8,MATCH(TRIM(MID(E33,FIND(",",E33)+1,LEN(E33))),Tactics!$B$2:$B$8,0))))</f>
        <v>TA0001, FA0001</v>
      </c>
      <c r="E33" s="12" t="s">
        <v>32</v>
      </c>
    </row>
    <row r="34" spans="1:5" ht="87">
      <c r="A34" s="12" t="s">
        <v>110</v>
      </c>
      <c r="B34" s="12" t="s">
        <v>111</v>
      </c>
      <c r="C34" s="12" t="s">
        <v>112</v>
      </c>
      <c r="D34" s="12" t="str">
        <f>IF(ISERROR(FIND(",",E34)),INDEX(Tactics!$A$2:$A$8,MATCH(TRIM(E34),Tactics!$B$2:$B$8,0)),_xlfn.TEXTJOIN(", ",TRUE,INDEX(Tactics!$A$2:$A$8,MATCH(TRIM(LEFT(E34,FIND(",",E34)-1)),Tactics!$B$2:$B$8,0)),INDEX(Tactics!$A$2:$A$8,MATCH(TRIM(MID(E34,FIND(",",E34)+1,LEN(E34))),Tactics!$B$2:$B$8,0))))</f>
        <v>TA0001, FA0001</v>
      </c>
      <c r="E34" s="12" t="s">
        <v>32</v>
      </c>
    </row>
    <row r="35" spans="1:5" ht="87">
      <c r="A35" s="12" t="s">
        <v>113</v>
      </c>
      <c r="B35" s="12" t="s">
        <v>114</v>
      </c>
      <c r="C35" s="12" t="s">
        <v>115</v>
      </c>
      <c r="D35" s="12" t="str">
        <f>IF(ISERROR(FIND(",",E35)),INDEX(Tactics!$A$2:$A$8,MATCH(TRIM(E35),Tactics!$B$2:$B$8,0)),_xlfn.TEXTJOIN(", ",TRUE,INDEX(Tactics!$A$2:$A$8,MATCH(TRIM(LEFT(E35,FIND(",",E35)-1)),Tactics!$B$2:$B$8,0)),INDEX(Tactics!$A$2:$A$8,MATCH(TRIM(MID(E35,FIND(",",E35)+1,LEN(E35))),Tactics!$B$2:$B$8,0))))</f>
        <v>TA0001, FA0001</v>
      </c>
      <c r="E35" s="12" t="s">
        <v>32</v>
      </c>
    </row>
    <row r="36" spans="1:5" ht="87">
      <c r="A36" s="12" t="s">
        <v>116</v>
      </c>
      <c r="B36" s="12" t="s">
        <v>117</v>
      </c>
      <c r="C36" s="12" t="s">
        <v>118</v>
      </c>
      <c r="D36" s="12" t="str">
        <f>IF(ISERROR(FIND(",",E36)),INDEX(Tactics!$A$2:$A$8,MATCH(TRIM(E36),Tactics!$B$2:$B$8,0)),_xlfn.TEXTJOIN(", ",TRUE,INDEX(Tactics!$A$2:$A$8,MATCH(TRIM(LEFT(E36,FIND(",",E36)-1)),Tactics!$B$2:$B$8,0)),INDEX(Tactics!$A$2:$A$8,MATCH(TRIM(MID(E36,FIND(",",E36)+1,LEN(E36))),Tactics!$B$2:$B$8,0))))</f>
        <v>TA0001, FA0001</v>
      </c>
      <c r="E36" s="12" t="s">
        <v>32</v>
      </c>
    </row>
    <row r="37" spans="1:5" ht="72.599999999999994">
      <c r="A37" s="12" t="s">
        <v>119</v>
      </c>
      <c r="B37" s="12" t="s">
        <v>120</v>
      </c>
      <c r="C37" s="12" t="s">
        <v>121</v>
      </c>
      <c r="D37" s="12" t="str">
        <f>IF(ISERROR(FIND(",",E37)),INDEX(Tactics!$A$2:$A$8,MATCH(TRIM(E37),Tactics!$B$2:$B$8,0)),_xlfn.TEXTJOIN(", ",TRUE,INDEX(Tactics!$A$2:$A$8,MATCH(TRIM(LEFT(E37,FIND(",",E37)-1)),Tactics!$B$2:$B$8,0)),INDEX(Tactics!$A$2:$A$8,MATCH(TRIM(MID(E37,FIND(",",E37)+1,LEN(E37))),Tactics!$B$2:$B$8,0))))</f>
        <v>TA0002</v>
      </c>
      <c r="E37" s="12" t="s">
        <v>28</v>
      </c>
    </row>
    <row r="38" spans="1:5" ht="87">
      <c r="A38" s="12" t="s">
        <v>122</v>
      </c>
      <c r="B38" s="12" t="s">
        <v>123</v>
      </c>
      <c r="C38" s="12" t="s">
        <v>124</v>
      </c>
      <c r="D38" s="12" t="str">
        <f>IF(ISERROR(FIND(",",E38)),INDEX(Tactics!$A$2:$A$8,MATCH(TRIM(E38),Tactics!$B$2:$B$8,0)),_xlfn.TEXTJOIN(", ",TRUE,INDEX(Tactics!$A$2:$A$8,MATCH(TRIM(LEFT(E38,FIND(",",E38)-1)),Tactics!$B$2:$B$8,0)),INDEX(Tactics!$A$2:$A$8,MATCH(TRIM(MID(E38,FIND(",",E38)+1,LEN(E38))),Tactics!$B$2:$B$8,0))))</f>
        <v>TA0002</v>
      </c>
      <c r="E38" s="12" t="s">
        <v>28</v>
      </c>
    </row>
    <row r="39" spans="1:5" ht="72.599999999999994">
      <c r="A39" s="12" t="s">
        <v>125</v>
      </c>
      <c r="B39" s="12" t="s">
        <v>126</v>
      </c>
      <c r="C39" s="12" t="s">
        <v>127</v>
      </c>
      <c r="D39" s="12" t="str">
        <f>IF(ISERROR(FIND(",",E39)),INDEX(Tactics!$A$2:$A$8,MATCH(TRIM(E39),Tactics!$B$2:$B$8,0)),_xlfn.TEXTJOIN(", ",TRUE,INDEX(Tactics!$A$2:$A$8,MATCH(TRIM(LEFT(E39,FIND(",",E39)-1)),Tactics!$B$2:$B$8,0)),INDEX(Tactics!$A$2:$A$8,MATCH(TRIM(MID(E39,FIND(",",E39)+1,LEN(E39))),Tactics!$B$2:$B$8,0))))</f>
        <v>TA0002</v>
      </c>
      <c r="E39" s="12" t="s">
        <v>28</v>
      </c>
    </row>
    <row r="40" spans="1:5" ht="72.599999999999994">
      <c r="A40" s="12" t="s">
        <v>128</v>
      </c>
      <c r="B40" s="12" t="s">
        <v>129</v>
      </c>
      <c r="C40" s="12" t="s">
        <v>130</v>
      </c>
      <c r="D40" s="12" t="str">
        <f>IF(ISERROR(FIND(",",E40)),INDEX(Tactics!$A$2:$A$8,MATCH(TRIM(E40),Tactics!$B$2:$B$8,0)),_xlfn.TEXTJOIN(", ",TRUE,INDEX(Tactics!$A$2:$A$8,MATCH(TRIM(LEFT(E40,FIND(",",E40)-1)),Tactics!$B$2:$B$8,0)),INDEX(Tactics!$A$2:$A$8,MATCH(TRIM(MID(E40,FIND(",",E40)+1,LEN(E40))),Tactics!$B$2:$B$8,0))))</f>
        <v>TA0002</v>
      </c>
      <c r="E40" s="12" t="s">
        <v>28</v>
      </c>
    </row>
    <row r="41" spans="1:5" ht="72.599999999999994">
      <c r="A41" s="12" t="s">
        <v>131</v>
      </c>
      <c r="B41" s="12" t="s">
        <v>132</v>
      </c>
      <c r="C41" s="12" t="s">
        <v>133</v>
      </c>
      <c r="D41" s="12" t="str">
        <f>IF(ISERROR(FIND(",",E41)),INDEX(Tactics!$A$2:$A$8,MATCH(TRIM(E41),Tactics!$B$2:$B$8,0)),_xlfn.TEXTJOIN(", ",TRUE,INDEX(Tactics!$A$2:$A$8,MATCH(TRIM(LEFT(E41,FIND(",",E41)-1)),Tactics!$B$2:$B$8,0)),INDEX(Tactics!$A$2:$A$8,MATCH(TRIM(MID(E41,FIND(",",E41)+1,LEN(E41))),Tactics!$B$2:$B$8,0))))</f>
        <v>TA0002</v>
      </c>
      <c r="E41" s="12" t="s">
        <v>28</v>
      </c>
    </row>
    <row r="42" spans="1:5" ht="72.599999999999994">
      <c r="A42" s="12" t="s">
        <v>134</v>
      </c>
      <c r="B42" s="12" t="s">
        <v>135</v>
      </c>
      <c r="C42" s="12" t="s">
        <v>136</v>
      </c>
      <c r="D42" s="12" t="str">
        <f>IF(ISERROR(FIND(",",E42)),INDEX(Tactics!$A$2:$A$8,MATCH(TRIM(E42),Tactics!$B$2:$B$8,0)),_xlfn.TEXTJOIN(", ",TRUE,INDEX(Tactics!$A$2:$A$8,MATCH(TRIM(LEFT(E42,FIND(",",E42)-1)),Tactics!$B$2:$B$8,0)),INDEX(Tactics!$A$2:$A$8,MATCH(TRIM(MID(E42,FIND(",",E42)+1,LEN(E42))),Tactics!$B$2:$B$8,0))))</f>
        <v>TA0002</v>
      </c>
      <c r="E42" s="12" t="s">
        <v>28</v>
      </c>
    </row>
    <row r="43" spans="1:5" ht="57.95">
      <c r="A43" s="12" t="s">
        <v>137</v>
      </c>
      <c r="B43" s="12" t="s">
        <v>138</v>
      </c>
      <c r="C43" s="12" t="s">
        <v>139</v>
      </c>
      <c r="D43" s="12" t="str">
        <f>IF(ISERROR(FIND(",",E43)),INDEX(Tactics!$A$2:$A$8,MATCH(TRIM(E43),Tactics!$B$2:$B$8,0)),_xlfn.TEXTJOIN(", ",TRUE,INDEX(Tactics!$A$2:$A$8,MATCH(TRIM(LEFT(E43,FIND(",",E43)-1)),Tactics!$B$2:$B$8,0)),INDEX(Tactics!$A$2:$A$8,MATCH(TRIM(MID(E43,FIND(",",E43)+1,LEN(E43))),Tactics!$B$2:$B$8,0))))</f>
        <v>TA0002</v>
      </c>
      <c r="E43" s="12" t="s">
        <v>28</v>
      </c>
    </row>
    <row r="44" spans="1:5" ht="72.599999999999994">
      <c r="A44" s="12" t="s">
        <v>140</v>
      </c>
      <c r="B44" s="12" t="s">
        <v>141</v>
      </c>
      <c r="C44" s="12" t="s">
        <v>142</v>
      </c>
      <c r="D44" s="12" t="str">
        <f>IF(ISERROR(FIND(",",E44)),INDEX(Tactics!$A$2:$A$8,MATCH(TRIM(E44),Tactics!$B$2:$B$8,0)),_xlfn.TEXTJOIN(", ",TRUE,INDEX(Tactics!$A$2:$A$8,MATCH(TRIM(LEFT(E44,FIND(",",E44)-1)),Tactics!$B$2:$B$8,0)),INDEX(Tactics!$A$2:$A$8,MATCH(TRIM(MID(E44,FIND(",",E44)+1,LEN(E44))),Tactics!$B$2:$B$8,0))))</f>
        <v>TA0002</v>
      </c>
      <c r="E44" s="12" t="s">
        <v>28</v>
      </c>
    </row>
    <row r="45" spans="1:5" ht="87">
      <c r="A45" s="12" t="s">
        <v>143</v>
      </c>
      <c r="B45" s="12" t="s">
        <v>144</v>
      </c>
      <c r="C45" s="12" t="s">
        <v>145</v>
      </c>
      <c r="D45" s="12" t="str">
        <f>IF(ISERROR(FIND(",",E45)),INDEX(Tactics!$A$2:$A$8,MATCH(TRIM(E45),Tactics!$B$2:$B$8,0)),_xlfn.TEXTJOIN(", ",TRUE,INDEX(Tactics!$A$2:$A$8,MATCH(TRIM(LEFT(E45,FIND(",",E45)-1)),Tactics!$B$2:$B$8,0)),INDEX(Tactics!$A$2:$A$8,MATCH(TRIM(MID(E45,FIND(",",E45)+1,LEN(E45))),Tactics!$B$2:$B$8,0))))</f>
        <v>TA0002</v>
      </c>
      <c r="E45" s="12" t="s">
        <v>28</v>
      </c>
    </row>
    <row r="46" spans="1:5" ht="87">
      <c r="A46" s="12" t="s">
        <v>146</v>
      </c>
      <c r="B46" s="12" t="s">
        <v>147</v>
      </c>
      <c r="C46" s="12" t="s">
        <v>148</v>
      </c>
      <c r="D46" s="12" t="str">
        <f>IF(ISERROR(FIND(",",E46)),INDEX(Tactics!$A$2:$A$8,MATCH(TRIM(E46),Tactics!$B$2:$B$8,0)),_xlfn.TEXTJOIN(", ",TRUE,INDEX(Tactics!$A$2:$A$8,MATCH(TRIM(LEFT(E46,FIND(",",E46)-1)),Tactics!$B$2:$B$8,0)),INDEX(Tactics!$A$2:$A$8,MATCH(TRIM(MID(E46,FIND(",",E46)+1,LEN(E46))),Tactics!$B$2:$B$8,0))))</f>
        <v>FA0002</v>
      </c>
      <c r="E46" s="12" t="s">
        <v>149</v>
      </c>
    </row>
    <row r="47" spans="1:5" ht="72.599999999999994">
      <c r="A47" s="12" t="s">
        <v>150</v>
      </c>
      <c r="B47" s="12" t="s">
        <v>151</v>
      </c>
      <c r="C47" s="12" t="s">
        <v>152</v>
      </c>
      <c r="D47" s="12" t="str">
        <f>IF(ISERROR(FIND(",",E47)),INDEX(Tactics!$A$2:$A$8,MATCH(TRIM(E47),Tactics!$B$2:$B$8,0)),_xlfn.TEXTJOIN(", ",TRUE,INDEX(Tactics!$A$2:$A$8,MATCH(TRIM(LEFT(E47,FIND(",",E47)-1)),Tactics!$B$2:$B$8,0)),INDEX(Tactics!$A$2:$A$8,MATCH(TRIM(MID(E47,FIND(",",E47)+1,LEN(E47))),Tactics!$B$2:$B$8,0))))</f>
        <v>FA0002</v>
      </c>
      <c r="E47" s="12" t="s">
        <v>149</v>
      </c>
    </row>
    <row r="48" spans="1:5" ht="290.10000000000002">
      <c r="A48" s="12" t="s">
        <v>153</v>
      </c>
      <c r="B48" s="12" t="s">
        <v>154</v>
      </c>
      <c r="C48" s="12" t="s">
        <v>155</v>
      </c>
      <c r="D48" s="12" t="str">
        <f>IF(ISERROR(FIND(",",E48)),INDEX(Tactics!$A$2:$A$8,MATCH(TRIM(E48),Tactics!$B$2:$B$8,0)),_xlfn.TEXTJOIN(", ",TRUE,INDEX(Tactics!$A$2:$A$8,MATCH(TRIM(LEFT(E48,FIND(",",E48)-1)),Tactics!$B$2:$B$8,0)),INDEX(Tactics!$A$2:$A$8,MATCH(TRIM(MID(E48,FIND(",",E48)+1,LEN(E48))),Tactics!$B$2:$B$8,0))))</f>
        <v>TA0001, FA0001</v>
      </c>
      <c r="E48" s="12" t="s">
        <v>32</v>
      </c>
    </row>
    <row r="49" spans="1:5" ht="246.6">
      <c r="A49" s="12" t="s">
        <v>156</v>
      </c>
      <c r="B49" s="12" t="s">
        <v>157</v>
      </c>
      <c r="C49" s="12" t="s">
        <v>158</v>
      </c>
      <c r="D49" s="12" t="str">
        <f>IF(ISERROR(FIND(",",E49)),INDEX(Tactics!$A$2:$A$8,MATCH(TRIM(E49),Tactics!$B$2:$B$8,0)),_xlfn.TEXTJOIN(", ",TRUE,INDEX(Tactics!$A$2:$A$8,MATCH(TRIM(LEFT(E49,FIND(",",E49)-1)),Tactics!$B$2:$B$8,0)),INDEX(Tactics!$A$2:$A$8,MATCH(TRIM(MID(E49,FIND(",",E49)+1,LEN(E49))),Tactics!$B$2:$B$8,0))))</f>
        <v>TA0001</v>
      </c>
      <c r="E49" s="12" t="s">
        <v>36</v>
      </c>
    </row>
    <row r="50" spans="1:5" ht="144.94999999999999">
      <c r="A50" s="12" t="s">
        <v>159</v>
      </c>
      <c r="B50" s="12" t="s">
        <v>160</v>
      </c>
      <c r="C50" s="12" t="s">
        <v>161</v>
      </c>
      <c r="D50" s="12" t="str">
        <f>IF(ISERROR(FIND(",",E50)),INDEX(Tactics!$A$2:$A$8,MATCH(TRIM(E50),Tactics!$B$2:$B$8,0)),_xlfn.TEXTJOIN(", ",TRUE,INDEX(Tactics!$A$2:$A$8,MATCH(TRIM(LEFT(E50,FIND(",",E50)-1)),Tactics!$B$2:$B$8,0)),INDEX(Tactics!$A$2:$A$8,MATCH(TRIM(MID(E50,FIND(",",E50)+1,LEN(E50))),Tactics!$B$2:$B$8,0))))</f>
        <v>TA0001</v>
      </c>
      <c r="E50" s="12" t="s">
        <v>36</v>
      </c>
    </row>
    <row r="51" spans="1:5" ht="188.45">
      <c r="A51" s="12" t="s">
        <v>162</v>
      </c>
      <c r="B51" s="12" t="s">
        <v>163</v>
      </c>
      <c r="C51" s="12" t="s">
        <v>164</v>
      </c>
      <c r="D51" s="12" t="str">
        <f>IF(ISERROR(FIND(",",E51)),INDEX(Tactics!$A$2:$A$8,MATCH(TRIM(E51),Tactics!$B$2:$B$8,0)),_xlfn.TEXTJOIN(", ",TRUE,INDEX(Tactics!$A$2:$A$8,MATCH(TRIM(LEFT(E51,FIND(",",E51)-1)),Tactics!$B$2:$B$8,0)),INDEX(Tactics!$A$2:$A$8,MATCH(TRIM(MID(E51,FIND(",",E51)+1,LEN(E51))),Tactics!$B$2:$B$8,0))))</f>
        <v>TA0001</v>
      </c>
      <c r="E51" s="12" t="s">
        <v>36</v>
      </c>
    </row>
    <row r="52" spans="1:5" ht="174">
      <c r="A52" s="12" t="s">
        <v>165</v>
      </c>
      <c r="B52" s="12" t="s">
        <v>166</v>
      </c>
      <c r="C52" s="12" t="s">
        <v>167</v>
      </c>
      <c r="D52" s="12" t="str">
        <f>IF(ISERROR(FIND(",",E52)),INDEX(Tactics!$A$2:$A$8,MATCH(TRIM(E52),Tactics!$B$2:$B$8,0)),_xlfn.TEXTJOIN(", ",TRUE,INDEX(Tactics!$A$2:$A$8,MATCH(TRIM(LEFT(E52,FIND(",",E52)-1)),Tactics!$B$2:$B$8,0)),INDEX(Tactics!$A$2:$A$8,MATCH(TRIM(MID(E52,FIND(",",E52)+1,LEN(E52))),Tactics!$B$2:$B$8,0))))</f>
        <v>TA0001</v>
      </c>
      <c r="E52" s="12" t="s">
        <v>36</v>
      </c>
    </row>
    <row r="53" spans="1:5" ht="188.45">
      <c r="A53" s="12" t="s">
        <v>168</v>
      </c>
      <c r="B53" s="12" t="s">
        <v>169</v>
      </c>
      <c r="C53" s="12" t="s">
        <v>170</v>
      </c>
      <c r="D53" s="12" t="str">
        <f>IF(ISERROR(FIND(",",E53)),INDEX(Tactics!$A$2:$A$8,MATCH(TRIM(E53),Tactics!$B$2:$B$8,0)),_xlfn.TEXTJOIN(", ",TRUE,INDEX(Tactics!$A$2:$A$8,MATCH(TRIM(LEFT(E53,FIND(",",E53)-1)),Tactics!$B$2:$B$8,0)),INDEX(Tactics!$A$2:$A$8,MATCH(TRIM(MID(E53,FIND(",",E53)+1,LEN(E53))),Tactics!$B$2:$B$8,0))))</f>
        <v>TA0001</v>
      </c>
      <c r="E53" s="12" t="s">
        <v>36</v>
      </c>
    </row>
    <row r="54" spans="1:5" ht="87">
      <c r="A54" s="12" t="s">
        <v>171</v>
      </c>
      <c r="B54" s="12" t="s">
        <v>172</v>
      </c>
      <c r="C54" s="12" t="s">
        <v>173</v>
      </c>
      <c r="D54" s="12" t="str">
        <f>IF(ISERROR(FIND(",",E54)),INDEX(Tactics!$A$2:$A$8,MATCH(TRIM(E54),Tactics!$B$2:$B$8,0)),_xlfn.TEXTJOIN(", ",TRUE,INDEX(Tactics!$A$2:$A$8,MATCH(TRIM(LEFT(E54,FIND(",",E54)-1)),Tactics!$B$2:$B$8,0)),INDEX(Tactics!$A$2:$A$8,MATCH(TRIM(MID(E54,FIND(",",E54)+1,LEN(E54))),Tactics!$B$2:$B$8,0))))</f>
        <v>FA0002</v>
      </c>
      <c r="E54" s="12" t="s">
        <v>149</v>
      </c>
    </row>
    <row r="55" spans="1:5" ht="87">
      <c r="A55" s="12" t="s">
        <v>174</v>
      </c>
      <c r="B55" s="12" t="s">
        <v>175</v>
      </c>
      <c r="C55" s="12" t="s">
        <v>176</v>
      </c>
      <c r="D55" s="12" t="str">
        <f>IF(ISERROR(FIND(",",E55)),INDEX(Tactics!$A$2:$A$8,MATCH(TRIM(E55),Tactics!$B$2:$B$8,0)),_xlfn.TEXTJOIN(", ",TRUE,INDEX(Tactics!$A$2:$A$8,MATCH(TRIM(LEFT(E55,FIND(",",E55)-1)),Tactics!$B$2:$B$8,0)),INDEX(Tactics!$A$2:$A$8,MATCH(TRIM(MID(E55,FIND(",",E55)+1,LEN(E55))),Tactics!$B$2:$B$8,0))))</f>
        <v>FA0001</v>
      </c>
      <c r="E55" s="12" t="s">
        <v>14</v>
      </c>
    </row>
    <row r="56" spans="1:5" ht="72.599999999999994">
      <c r="A56" s="12" t="s">
        <v>177</v>
      </c>
      <c r="B56" s="12" t="s">
        <v>178</v>
      </c>
      <c r="C56" s="12" t="s">
        <v>179</v>
      </c>
      <c r="D56" s="12" t="str">
        <f>IF(ISERROR(FIND(",",E56)),INDEX(Tactics!$A$2:$A$8,MATCH(TRIM(E56),Tactics!$B$2:$B$8,0)),_xlfn.TEXTJOIN(", ",TRUE,INDEX(Tactics!$A$2:$A$8,MATCH(TRIM(LEFT(E56,FIND(",",E56)-1)),Tactics!$B$2:$B$8,0)),INDEX(Tactics!$A$2:$A$8,MATCH(TRIM(MID(E56,FIND(",",E56)+1,LEN(E56))),Tactics!$B$2:$B$8,0))))</f>
        <v>FA0001</v>
      </c>
      <c r="E56" s="12" t="s">
        <v>14</v>
      </c>
    </row>
    <row r="57" spans="1:5" ht="72.599999999999994">
      <c r="A57" s="12" t="s">
        <v>180</v>
      </c>
      <c r="B57" s="12" t="s">
        <v>181</v>
      </c>
      <c r="C57" s="12" t="s">
        <v>182</v>
      </c>
      <c r="D57" s="12" t="str">
        <f>IF(ISERROR(FIND(",",E57)),INDEX(Tactics!$A$2:$A$8,MATCH(TRIM(E57),Tactics!$B$2:$B$8,0)),_xlfn.TEXTJOIN(", ",TRUE,INDEX(Tactics!$A$2:$A$8,MATCH(TRIM(LEFT(E57,FIND(",",E57)-1)),Tactics!$B$2:$B$8,0)),INDEX(Tactics!$A$2:$A$8,MATCH(TRIM(MID(E57,FIND(",",E57)+1,LEN(E57))),Tactics!$B$2:$B$8,0))))</f>
        <v>FA0001</v>
      </c>
      <c r="E57" s="12" t="s">
        <v>14</v>
      </c>
    </row>
    <row r="58" spans="1:5" ht="72.599999999999994">
      <c r="A58" s="12" t="s">
        <v>183</v>
      </c>
      <c r="B58" s="12" t="s">
        <v>184</v>
      </c>
      <c r="C58" s="12" t="s">
        <v>185</v>
      </c>
      <c r="D58" s="12" t="str">
        <f>IF(ISERROR(FIND(",",E58)),INDEX(Tactics!$A$2:$A$8,MATCH(TRIM(E58),Tactics!$B$2:$B$8,0)),_xlfn.TEXTJOIN(", ",TRUE,INDEX(Tactics!$A$2:$A$8,MATCH(TRIM(LEFT(E58,FIND(",",E58)-1)),Tactics!$B$2:$B$8,0)),INDEX(Tactics!$A$2:$A$8,MATCH(TRIM(MID(E58,FIND(",",E58)+1,LEN(E58))),Tactics!$B$2:$B$8,0))))</f>
        <v>TA0002</v>
      </c>
      <c r="E58" s="12" t="s">
        <v>28</v>
      </c>
    </row>
    <row r="59" spans="1:5" ht="72.599999999999994">
      <c r="A59" s="12" t="s">
        <v>186</v>
      </c>
      <c r="B59" s="12" t="s">
        <v>187</v>
      </c>
      <c r="C59" s="12" t="s">
        <v>188</v>
      </c>
      <c r="D59" s="12" t="str">
        <f>IF(ISERROR(FIND(",",E59)),INDEX(Tactics!$A$2:$A$8,MATCH(TRIM(E59),Tactics!$B$2:$B$8,0)),_xlfn.TEXTJOIN(", ",TRUE,INDEX(Tactics!$A$2:$A$8,MATCH(TRIM(LEFT(E59,FIND(",",E59)-1)),Tactics!$B$2:$B$8,0)),INDEX(Tactics!$A$2:$A$8,MATCH(TRIM(MID(E59,FIND(",",E59)+1,LEN(E59))),Tactics!$B$2:$B$8,0))))</f>
        <v>TA0002</v>
      </c>
      <c r="E59" s="12" t="s">
        <v>28</v>
      </c>
    </row>
    <row r="60" spans="1:5" ht="203.1">
      <c r="A60" s="12" t="s">
        <v>189</v>
      </c>
      <c r="B60" s="12" t="s">
        <v>190</v>
      </c>
      <c r="C60" s="12" t="s">
        <v>191</v>
      </c>
      <c r="D60" s="12" t="str">
        <f>IF(ISERROR(FIND(",",E60)),INDEX(Tactics!$A$2:$A$8,MATCH(TRIM(E60),Tactics!$B$2:$B$8,0)),_xlfn.TEXTJOIN(", ",TRUE,INDEX(Tactics!$A$2:$A$8,MATCH(TRIM(LEFT(E60,FIND(",",E60)-1)),Tactics!$B$2:$B$8,0)),INDEX(Tactics!$A$2:$A$8,MATCH(TRIM(MID(E60,FIND(",",E60)+1,LEN(E60))),Tactics!$B$2:$B$8,0))))</f>
        <v>TA0002</v>
      </c>
      <c r="E60" s="12" t="s">
        <v>28</v>
      </c>
    </row>
    <row r="61" spans="1:5" ht="72.599999999999994">
      <c r="A61" s="12" t="s">
        <v>192</v>
      </c>
      <c r="B61" s="12" t="s">
        <v>193</v>
      </c>
      <c r="C61" s="12" t="s">
        <v>194</v>
      </c>
      <c r="D61" s="12" t="str">
        <f>IF(ISERROR(FIND(",",E61)),INDEX(Tactics!$A$2:$A$8,MATCH(TRIM(E61),Tactics!$B$2:$B$8,0)),_xlfn.TEXTJOIN(", ",TRUE,INDEX(Tactics!$A$2:$A$8,MATCH(TRIM(LEFT(E61,FIND(",",E61)-1)),Tactics!$B$2:$B$8,0)),INDEX(Tactics!$A$2:$A$8,MATCH(TRIM(MID(E61,FIND(",",E61)+1,LEN(E61))),Tactics!$B$2:$B$8,0))))</f>
        <v>TA0042</v>
      </c>
      <c r="E61" s="12" t="s">
        <v>91</v>
      </c>
    </row>
    <row r="62" spans="1:5" ht="87">
      <c r="A62" s="12" t="s">
        <v>195</v>
      </c>
      <c r="B62" s="12" t="s">
        <v>196</v>
      </c>
      <c r="C62" s="12" t="s">
        <v>197</v>
      </c>
      <c r="D62" s="12" t="str">
        <f>IF(ISERROR(FIND(",",E62)),INDEX(Tactics!$A$2:$A$8,MATCH(TRIM(E62),Tactics!$B$2:$B$8,0)),_xlfn.TEXTJOIN(", ",TRUE,INDEX(Tactics!$A$2:$A$8,MATCH(TRIM(LEFT(E62,FIND(",",E62)-1)),Tactics!$B$2:$B$8,0)),INDEX(Tactics!$A$2:$A$8,MATCH(TRIM(MID(E62,FIND(",",E62)+1,LEN(E62))),Tactics!$B$2:$B$8,0))))</f>
        <v>TA0042</v>
      </c>
      <c r="E62" s="12" t="s">
        <v>91</v>
      </c>
    </row>
    <row r="63" spans="1:5" ht="87">
      <c r="A63" s="12" t="s">
        <v>198</v>
      </c>
      <c r="B63" s="12" t="s">
        <v>199</v>
      </c>
      <c r="C63" s="12" t="s">
        <v>200</v>
      </c>
      <c r="D63" s="12" t="str">
        <f>IF(ISERROR(FIND(",",E63)),INDEX(Tactics!$A$2:$A$8,MATCH(TRIM(E63),Tactics!$B$2:$B$8,0)),_xlfn.TEXTJOIN(", ",TRUE,INDEX(Tactics!$A$2:$A$8,MATCH(TRIM(LEFT(E63,FIND(",",E63)-1)),Tactics!$B$2:$B$8,0)),INDEX(Tactics!$A$2:$A$8,MATCH(TRIM(MID(E63,FIND(",",E63)+1,LEN(E63))),Tactics!$B$2:$B$8,0))))</f>
        <v>TA0042</v>
      </c>
      <c r="E63" s="12" t="s">
        <v>91</v>
      </c>
    </row>
    <row r="64" spans="1:5" ht="275.45">
      <c r="A64" s="12" t="s">
        <v>201</v>
      </c>
      <c r="B64" s="12" t="s">
        <v>202</v>
      </c>
      <c r="C64" s="12" t="s">
        <v>203</v>
      </c>
      <c r="D64" s="12" t="str">
        <f>IF(ISERROR(FIND(",",E64)),INDEX(Tactics!$A$2:$A$8,MATCH(TRIM(E64),Tactics!$B$2:$B$8,0)),_xlfn.TEXTJOIN(", ",TRUE,INDEX(Tactics!$A$2:$A$8,MATCH(TRIM(LEFT(E64,FIND(",",E64)-1)),Tactics!$B$2:$B$8,0)),INDEX(Tactics!$A$2:$A$8,MATCH(TRIM(MID(E64,FIND(",",E64)+1,LEN(E64))),Tactics!$B$2:$B$8,0))))</f>
        <v>TA0042</v>
      </c>
      <c r="E64" s="12" t="s">
        <v>91</v>
      </c>
    </row>
    <row r="65" spans="1:5" ht="72.599999999999994">
      <c r="A65" s="12" t="s">
        <v>204</v>
      </c>
      <c r="B65" s="12" t="s">
        <v>205</v>
      </c>
      <c r="C65" s="12" t="s">
        <v>206</v>
      </c>
      <c r="D65" s="12" t="str">
        <f>IF(ISERROR(FIND(",",E65)),INDEX(Tactics!$A$2:$A$8,MATCH(TRIM(E65),Tactics!$B$2:$B$8,0)),_xlfn.TEXTJOIN(", ",TRUE,INDEX(Tactics!$A$2:$A$8,MATCH(TRIM(LEFT(E65,FIND(",",E65)-1)),Tactics!$B$2:$B$8,0)),INDEX(Tactics!$A$2:$A$8,MATCH(TRIM(MID(E65,FIND(",",E65)+1,LEN(E65))),Tactics!$B$2:$B$8,0))))</f>
        <v>TA0042</v>
      </c>
      <c r="E65" s="12" t="s">
        <v>91</v>
      </c>
    </row>
    <row r="66" spans="1:5" ht="174">
      <c r="A66" s="12" t="s">
        <v>207</v>
      </c>
      <c r="B66" s="12" t="s">
        <v>208</v>
      </c>
      <c r="C66" s="12" t="s">
        <v>209</v>
      </c>
      <c r="D66" s="12" t="str">
        <f>IF(ISERROR(FIND(",",E66)),INDEX(Tactics!$A$2:$A$8,MATCH(TRIM(E66),Tactics!$B$2:$B$8,0)),_xlfn.TEXTJOIN(", ",TRUE,INDEX(Tactics!$A$2:$A$8,MATCH(TRIM(LEFT(E66,FIND(",",E66)-1)),Tactics!$B$2:$B$8,0)),INDEX(Tactics!$A$2:$A$8,MATCH(TRIM(MID(E66,FIND(",",E66)+1,LEN(E66))),Tactics!$B$2:$B$8,0))))</f>
        <v>TA0001</v>
      </c>
      <c r="E66" s="12" t="s">
        <v>36</v>
      </c>
    </row>
    <row r="67" spans="1:5" ht="72.599999999999994">
      <c r="A67" s="12" t="s">
        <v>210</v>
      </c>
      <c r="B67" s="12" t="s">
        <v>211</v>
      </c>
      <c r="C67" s="12" t="s">
        <v>212</v>
      </c>
      <c r="D67" s="12" t="str">
        <f>IF(ISERROR(FIND(",",E67)),INDEX(Tactics!$A$2:$A$8,MATCH(TRIM(E67),Tactics!$B$2:$B$8,0)),_xlfn.TEXTJOIN(", ",TRUE,INDEX(Tactics!$A$2:$A$8,MATCH(TRIM(LEFT(E67,FIND(",",E67)-1)),Tactics!$B$2:$B$8,0)),INDEX(Tactics!$A$2:$A$8,MATCH(TRIM(MID(E67,FIND(",",E67)+1,LEN(E67))),Tactics!$B$2:$B$8,0))))</f>
        <v>FA0002</v>
      </c>
      <c r="E67" s="12" t="s">
        <v>149</v>
      </c>
    </row>
    <row r="68" spans="1:5" ht="72.599999999999994">
      <c r="A68" s="12" t="s">
        <v>213</v>
      </c>
      <c r="B68" s="12" t="s">
        <v>214</v>
      </c>
      <c r="C68" s="12" t="s">
        <v>215</v>
      </c>
      <c r="D68" s="12" t="str">
        <f>IF(ISERROR(FIND(",",E68)),INDEX(Tactics!$A$2:$A$8,MATCH(TRIM(E68),Tactics!$B$2:$B$8,0)),_xlfn.TEXTJOIN(", ",TRUE,INDEX(Tactics!$A$2:$A$8,MATCH(TRIM(LEFT(E68,FIND(",",E68)-1)),Tactics!$B$2:$B$8,0)),INDEX(Tactics!$A$2:$A$8,MATCH(TRIM(MID(E68,FIND(",",E68)+1,LEN(E68))),Tactics!$B$2:$B$8,0))))</f>
        <v>TA0042</v>
      </c>
      <c r="E68" s="12" t="s">
        <v>91</v>
      </c>
    </row>
    <row r="69" spans="1:5" ht="72.599999999999994">
      <c r="A69" s="12" t="s">
        <v>216</v>
      </c>
      <c r="B69" s="12" t="s">
        <v>217</v>
      </c>
      <c r="C69" s="12" t="s">
        <v>218</v>
      </c>
      <c r="D69" s="12" t="str">
        <f>IF(ISERROR(FIND(",",E69)),INDEX(Tactics!$A$2:$A$8,MATCH(TRIM(E69),Tactics!$B$2:$B$8,0)),_xlfn.TEXTJOIN(", ",TRUE,INDEX(Tactics!$A$2:$A$8,MATCH(TRIM(LEFT(E69,FIND(",",E69)-1)),Tactics!$B$2:$B$8,0)),INDEX(Tactics!$A$2:$A$8,MATCH(TRIM(MID(E69,FIND(",",E69)+1,LEN(E69))),Tactics!$B$2:$B$8,0))))</f>
        <v>TA0042</v>
      </c>
      <c r="E69" s="12" t="s">
        <v>91</v>
      </c>
    </row>
    <row r="70" spans="1:5" ht="116.1">
      <c r="A70" s="12" t="s">
        <v>219</v>
      </c>
      <c r="B70" s="12" t="s">
        <v>220</v>
      </c>
      <c r="C70" s="12" t="s">
        <v>221</v>
      </c>
      <c r="D70" s="12" t="str">
        <f>IF(ISERROR(FIND(",",E70)),INDEX(Tactics!$A$2:$A$8,MATCH(TRIM(E70),Tactics!$B$2:$B$8,0)),_xlfn.TEXTJOIN(", ",TRUE,INDEX(Tactics!$A$2:$A$8,MATCH(TRIM(LEFT(E70,FIND(",",E70)-1)),Tactics!$B$2:$B$8,0)),INDEX(Tactics!$A$2:$A$8,MATCH(TRIM(MID(E70,FIND(",",E70)+1,LEN(E70))),Tactics!$B$2:$B$8,0))))</f>
        <v>TA0042</v>
      </c>
      <c r="E70" s="12" t="s">
        <v>91</v>
      </c>
    </row>
    <row r="71" spans="1:5" ht="87">
      <c r="A71" s="12" t="s">
        <v>222</v>
      </c>
      <c r="B71" s="12" t="s">
        <v>223</v>
      </c>
      <c r="C71" s="12" t="s">
        <v>224</v>
      </c>
      <c r="D71" s="12" t="str">
        <f>IF(ISERROR(FIND(",",E71)),INDEX(Tactics!$A$2:$A$8,MATCH(TRIM(E71),Tactics!$B$2:$B$8,0)),_xlfn.TEXTJOIN(", ",TRUE,INDEX(Tactics!$A$2:$A$8,MATCH(TRIM(LEFT(E71,FIND(",",E71)-1)),Tactics!$B$2:$B$8,0)),INDEX(Tactics!$A$2:$A$8,MATCH(TRIM(MID(E71,FIND(",",E71)+1,LEN(E71))),Tactics!$B$2:$B$8,0))))</f>
        <v>TA0042</v>
      </c>
      <c r="E71" s="12" t="s">
        <v>91</v>
      </c>
    </row>
    <row r="72" spans="1:5" ht="101.45">
      <c r="A72" s="12" t="s">
        <v>225</v>
      </c>
      <c r="B72" s="12" t="s">
        <v>226</v>
      </c>
      <c r="C72" s="12" t="s">
        <v>227</v>
      </c>
      <c r="D72" s="12" t="str">
        <f>IF(ISERROR(FIND(",",E72)),INDEX(Tactics!$A$2:$A$8,MATCH(TRIM(E72),Tactics!$B$2:$B$8,0)),_xlfn.TEXTJOIN(", ",TRUE,INDEX(Tactics!$A$2:$A$8,MATCH(TRIM(LEFT(E72,FIND(",",E72)-1)),Tactics!$B$2:$B$8,0)),INDEX(Tactics!$A$2:$A$8,MATCH(TRIM(MID(E72,FIND(",",E72)+1,LEN(E72))),Tactics!$B$2:$B$8,0))))</f>
        <v>TA0043</v>
      </c>
      <c r="E72" s="6" t="s">
        <v>228</v>
      </c>
    </row>
    <row r="73" spans="1:5" ht="72.599999999999994">
      <c r="A73" s="12" t="s">
        <v>229</v>
      </c>
      <c r="B73" s="12" t="s">
        <v>230</v>
      </c>
      <c r="C73" s="12" t="s">
        <v>231</v>
      </c>
      <c r="D73" s="12" t="str">
        <f>IF(ISERROR(FIND(",",E73)),INDEX(Tactics!$A$2:$A$8,MATCH(TRIM(E73),Tactics!$B$2:$B$8,0)),_xlfn.TEXTJOIN(", ",TRUE,INDEX(Tactics!$A$2:$A$8,MATCH(TRIM(LEFT(E73,FIND(",",E73)-1)),Tactics!$B$2:$B$8,0)),INDEX(Tactics!$A$2:$A$8,MATCH(TRIM(MID(E73,FIND(",",E73)+1,LEN(E73))),Tactics!$B$2:$B$8,0))))</f>
        <v>TA0043</v>
      </c>
      <c r="E73" s="6" t="s">
        <v>228</v>
      </c>
    </row>
    <row r="74" spans="1:5" ht="87">
      <c r="A74" s="12" t="s">
        <v>232</v>
      </c>
      <c r="B74" s="12" t="s">
        <v>233</v>
      </c>
      <c r="C74" s="12" t="s">
        <v>234</v>
      </c>
      <c r="D74" s="12" t="str">
        <f>IF(ISERROR(FIND(",",E74)),INDEX(Tactics!$A$2:$A$8,MATCH(TRIM(E74),Tactics!$B$2:$B$8,0)),_xlfn.TEXTJOIN(", ",TRUE,INDEX(Tactics!$A$2:$A$8,MATCH(TRIM(LEFT(E74,FIND(",",E74)-1)),Tactics!$B$2:$B$8,0)),INDEX(Tactics!$A$2:$A$8,MATCH(TRIM(MID(E74,FIND(",",E74)+1,LEN(E74))),Tactics!$B$2:$B$8,0))))</f>
        <v>TA0043</v>
      </c>
      <c r="E74" s="6" t="s">
        <v>228</v>
      </c>
    </row>
    <row r="75" spans="1:5" ht="72.599999999999994">
      <c r="A75" s="12" t="s">
        <v>235</v>
      </c>
      <c r="B75" s="12" t="s">
        <v>236</v>
      </c>
      <c r="C75" s="12" t="s">
        <v>237</v>
      </c>
      <c r="D75" s="12" t="str">
        <f>IF(ISERROR(FIND(",",E75)),INDEX(Tactics!$A$2:$A$8,MATCH(TRIM(E75),Tactics!$B$2:$B$8,0)),_xlfn.TEXTJOIN(", ",TRUE,INDEX(Tactics!$A$2:$A$8,MATCH(TRIM(LEFT(E75,FIND(",",E75)-1)),Tactics!$B$2:$B$8,0)),INDEX(Tactics!$A$2:$A$8,MATCH(TRIM(MID(E75,FIND(",",E75)+1,LEN(E75))),Tactics!$B$2:$B$8,0))))</f>
        <v>TA0005</v>
      </c>
      <c r="E75" s="12" t="s">
        <v>10</v>
      </c>
    </row>
    <row r="76" spans="1:5" ht="101.45">
      <c r="A76" s="12" t="s">
        <v>238</v>
      </c>
      <c r="B76" s="12" t="s">
        <v>239</v>
      </c>
      <c r="C76" s="12" t="s">
        <v>240</v>
      </c>
      <c r="D76" s="12" t="str">
        <f>IF(ISERROR(FIND(",",E76)),INDEX(Tactics!$A$2:$A$8,MATCH(TRIM(E76),Tactics!$B$2:$B$8,0)),_xlfn.TEXTJOIN(", ",TRUE,INDEX(Tactics!$A$2:$A$8,MATCH(TRIM(LEFT(E76,FIND(",",E76)-1)),Tactics!$B$2:$B$8,0)),INDEX(Tactics!$A$2:$A$8,MATCH(TRIM(MID(E76,FIND(",",E76)+1,LEN(E76))),Tactics!$B$2:$B$8,0))))</f>
        <v>TA0005</v>
      </c>
      <c r="E76" s="12" t="s">
        <v>10</v>
      </c>
    </row>
    <row r="77" spans="1:5" ht="290.10000000000002">
      <c r="A77" s="12" t="s">
        <v>241</v>
      </c>
      <c r="B77" s="12" t="s">
        <v>242</v>
      </c>
      <c r="C77" s="12" t="s">
        <v>243</v>
      </c>
      <c r="D77" s="12" t="str">
        <f>IF(ISERROR(FIND(",",E77)),INDEX(Tactics!$A$2:$A$8,MATCH(TRIM(E77),Tactics!$B$2:$B$8,0)),_xlfn.TEXTJOIN(", ",TRUE,INDEX(Tactics!$A$2:$A$8,MATCH(TRIM(LEFT(E77,FIND(",",E77)-1)),Tactics!$B$2:$B$8,0)),INDEX(Tactics!$A$2:$A$8,MATCH(TRIM(MID(E77,FIND(",",E77)+1,LEN(E77))),Tactics!$B$2:$B$8,0))))</f>
        <v>TA0001</v>
      </c>
      <c r="E77" s="12" t="s">
        <v>36</v>
      </c>
    </row>
    <row r="78" spans="1:5" ht="188.45">
      <c r="A78" s="12" t="s">
        <v>244</v>
      </c>
      <c r="B78" s="12" t="s">
        <v>245</v>
      </c>
      <c r="C78" s="12" t="s">
        <v>246</v>
      </c>
      <c r="D78" s="12" t="str">
        <f>IF(ISERROR(FIND(",",E78)),INDEX(Tactics!$A$2:$A$8,MATCH(TRIM(E78),Tactics!$B$2:$B$8,0)),_xlfn.TEXTJOIN(", ",TRUE,INDEX(Tactics!$A$2:$A$8,MATCH(TRIM(LEFT(E78,FIND(",",E78)-1)),Tactics!$B$2:$B$8,0)),INDEX(Tactics!$A$2:$A$8,MATCH(TRIM(MID(E78,FIND(",",E78)+1,LEN(E78))),Tactics!$B$2:$B$8,0))))</f>
        <v>TA0005</v>
      </c>
      <c r="E78" s="12" t="s">
        <v>10</v>
      </c>
    </row>
    <row r="79" spans="1:5" ht="87">
      <c r="A79" s="12" t="s">
        <v>247</v>
      </c>
      <c r="B79" s="12" t="s">
        <v>248</v>
      </c>
      <c r="C79" s="12" t="s">
        <v>249</v>
      </c>
      <c r="D79" s="12" t="str">
        <f>IF(ISERROR(FIND(",",E79)),INDEX(Tactics!$A$2:$A$8,MATCH(TRIM(E79),Tactics!$B$2:$B$8,0)),_xlfn.TEXTJOIN(", ",TRUE,INDEX(Tactics!$A$2:$A$8,MATCH(TRIM(LEFT(E79,FIND(",",E79)-1)),Tactics!$B$2:$B$8,0)),INDEX(Tactics!$A$2:$A$8,MATCH(TRIM(MID(E79,FIND(",",E79)+1,LEN(E79))),Tactics!$B$2:$B$8,0))))</f>
        <v>TA0001</v>
      </c>
      <c r="E79" s="12" t="s">
        <v>36</v>
      </c>
    </row>
    <row r="80" spans="1:5" ht="275.45">
      <c r="A80" s="12" t="s">
        <v>250</v>
      </c>
      <c r="B80" s="12" t="s">
        <v>251</v>
      </c>
      <c r="C80" s="12" t="s">
        <v>252</v>
      </c>
      <c r="D80" s="12" t="str">
        <f>IF(ISERROR(FIND(",",E80)),INDEX(Tactics!$A$2:$A$8,MATCH(TRIM(E80),Tactics!$B$2:$B$8,0)),_xlfn.TEXTJOIN(", ",TRUE,INDEX(Tactics!$A$2:$A$8,MATCH(TRIM(LEFT(E80,FIND(",",E80)-1)),Tactics!$B$2:$B$8,0)),INDEX(Tactics!$A$2:$A$8,MATCH(TRIM(MID(E80,FIND(",",E80)+1,LEN(E80))),Tactics!$B$2:$B$8,0))))</f>
        <v>TA0042</v>
      </c>
      <c r="E80" s="12" t="s">
        <v>91</v>
      </c>
    </row>
    <row r="81" spans="1:5" ht="72.599999999999994">
      <c r="A81" s="12" t="s">
        <v>253</v>
      </c>
      <c r="B81" s="12" t="s">
        <v>254</v>
      </c>
      <c r="C81" s="12" t="s">
        <v>255</v>
      </c>
      <c r="D81" s="12" t="str">
        <f>IF(ISERROR(FIND(",",E81)),INDEX(Tactics!$A$2:$A$8,MATCH(TRIM(E81),Tactics!$B$2:$B$8,0)),_xlfn.TEXTJOIN(", ",TRUE,INDEX(Tactics!$A$2:$A$8,MATCH(TRIM(LEFT(E81,FIND(",",E81)-1)),Tactics!$B$2:$B$8,0)),INDEX(Tactics!$A$2:$A$8,MATCH(TRIM(MID(E81,FIND(",",E81)+1,LEN(E81))),Tactics!$B$2:$B$8,0))))</f>
        <v>TA0042</v>
      </c>
      <c r="E81" s="12" t="s">
        <v>91</v>
      </c>
    </row>
    <row r="82" spans="1:5" ht="318.95">
      <c r="A82" s="12" t="s">
        <v>256</v>
      </c>
      <c r="B82" s="12" t="s">
        <v>257</v>
      </c>
      <c r="C82" s="12" t="s">
        <v>258</v>
      </c>
      <c r="D82" s="12" t="str">
        <f>IF(ISERROR(FIND(",",E82)),INDEX(Tactics!$A$2:$A$8,MATCH(TRIM(E82),Tactics!$B$2:$B$8,0)),_xlfn.TEXTJOIN(", ",TRUE,INDEX(Tactics!$A$2:$A$8,MATCH(TRIM(LEFT(E82,FIND(",",E82)-1)),Tactics!$B$2:$B$8,0)),INDEX(Tactics!$A$2:$A$8,MATCH(TRIM(MID(E82,FIND(",",E82)+1,LEN(E82))),Tactics!$B$2:$B$8,0))))</f>
        <v>TA0002</v>
      </c>
      <c r="E82" s="12" t="s">
        <v>28</v>
      </c>
    </row>
    <row r="83" spans="1:5" ht="72.599999999999994">
      <c r="A83" s="12" t="s">
        <v>259</v>
      </c>
      <c r="B83" s="12" t="s">
        <v>260</v>
      </c>
      <c r="C83" s="12" t="s">
        <v>261</v>
      </c>
      <c r="D83" s="12" t="str">
        <f>IF(ISERROR(FIND(",",E83)),INDEX(Tactics!$A$2:$A$8,MATCH(TRIM(E83),Tactics!$B$2:$B$8,0)),_xlfn.TEXTJOIN(", ",TRUE,INDEX(Tactics!$A$2:$A$8,MATCH(TRIM(LEFT(E83,FIND(",",E83)-1)),Tactics!$B$2:$B$8,0)),INDEX(Tactics!$A$2:$A$8,MATCH(TRIM(MID(E83,FIND(",",E83)+1,LEN(E83))),Tactics!$B$2:$B$8,0))))</f>
        <v>TA0043</v>
      </c>
      <c r="E83" s="12" t="s">
        <v>228</v>
      </c>
    </row>
    <row r="84" spans="1:5" ht="72.599999999999994">
      <c r="A84" s="12" t="s">
        <v>262</v>
      </c>
      <c r="B84" s="12" t="s">
        <v>263</v>
      </c>
      <c r="C84" s="12" t="s">
        <v>264</v>
      </c>
      <c r="D84" s="12" t="str">
        <f>IF(ISERROR(FIND(",",E84)),INDEX(Tactics!$A$2:$A$8,MATCH(TRIM(E84),Tactics!$B$2:$B$8,0)),_xlfn.TEXTJOIN(", ",TRUE,INDEX(Tactics!$A$2:$A$8,MATCH(TRIM(LEFT(E84,FIND(",",E84)-1)),Tactics!$B$2:$B$8,0)),INDEX(Tactics!$A$2:$A$8,MATCH(TRIM(MID(E84,FIND(",",E84)+1,LEN(E84))),Tactics!$B$2:$B$8,0))))</f>
        <v>TA0005</v>
      </c>
      <c r="E84" s="12" t="s">
        <v>10</v>
      </c>
    </row>
    <row r="85" spans="1:5" ht="87">
      <c r="A85" s="12" t="s">
        <v>265</v>
      </c>
      <c r="B85" s="12" t="s">
        <v>266</v>
      </c>
      <c r="C85" s="12" t="s">
        <v>267</v>
      </c>
      <c r="D85" s="12" t="str">
        <f>IF(ISERROR(FIND(",",E85)),INDEX(Tactics!$A$2:$A$8,MATCH(TRIM(E85),Tactics!$B$2:$B$8,0)),_xlfn.TEXTJOIN(", ",TRUE,INDEX(Tactics!$A$2:$A$8,MATCH(TRIM(LEFT(E85,FIND(",",E85)-1)),Tactics!$B$2:$B$8,0)),INDEX(Tactics!$A$2:$A$8,MATCH(TRIM(MID(E85,FIND(",",E85)+1,LEN(E85))),Tactics!$B$2:$B$8,0))))</f>
        <v>TA0042</v>
      </c>
      <c r="E85" s="12" t="s">
        <v>91</v>
      </c>
    </row>
    <row r="86" spans="1:5" ht="87">
      <c r="A86" s="12" t="s">
        <v>268</v>
      </c>
      <c r="B86" s="12" t="s">
        <v>269</v>
      </c>
      <c r="C86" s="12" t="s">
        <v>270</v>
      </c>
      <c r="D86" s="12" t="str">
        <f>IF(ISERROR(FIND(",",E86)),INDEX(Tactics!$A$2:$A$8,MATCH(TRIM(E86),Tactics!$B$2:$B$8,0)),_xlfn.TEXTJOIN(", ",TRUE,INDEX(Tactics!$A$2:$A$8,MATCH(TRIM(LEFT(E86,FIND(",",E86)-1)),Tactics!$B$2:$B$8,0)),INDEX(Tactics!$A$2:$A$8,MATCH(TRIM(MID(E86,FIND(",",E86)+1,LEN(E86))),Tactics!$B$2:$B$8,0))))</f>
        <v>TA0001, TA0005</v>
      </c>
      <c r="E86" s="12" t="s">
        <v>271</v>
      </c>
    </row>
    <row r="87" spans="1:5" ht="87">
      <c r="A87" s="12" t="s">
        <v>272</v>
      </c>
      <c r="B87" s="12" t="s">
        <v>273</v>
      </c>
      <c r="C87" s="12" t="s">
        <v>274</v>
      </c>
      <c r="D87" s="12" t="str">
        <f>IF(ISERROR(FIND(",",E87)),INDEX(Tactics!$A$2:$A$8,MATCH(TRIM(E87),Tactics!$B$2:$B$8,0)),_xlfn.TEXTJOIN(", ",TRUE,INDEX(Tactics!$A$2:$A$8,MATCH(TRIM(LEFT(E87,FIND(",",E87)-1)),Tactics!$B$2:$B$8,0)),INDEX(Tactics!$A$2:$A$8,MATCH(TRIM(MID(E87,FIND(",",E87)+1,LEN(E87))),Tactics!$B$2:$B$8,0))))</f>
        <v>TA0001, TA0005</v>
      </c>
      <c r="E87" s="12" t="s">
        <v>271</v>
      </c>
    </row>
    <row r="88" spans="1:5" ht="188.45">
      <c r="A88" s="12" t="s">
        <v>275</v>
      </c>
      <c r="B88" s="12" t="s">
        <v>276</v>
      </c>
      <c r="C88" s="12" t="s">
        <v>277</v>
      </c>
      <c r="D88" s="12" t="str">
        <f>IF(ISERROR(FIND(",",E88)),INDEX(Tactics!$A$2:$A$8,MATCH(TRIM(E88),Tactics!$B$2:$B$8,0)),_xlfn.TEXTJOIN(", ",TRUE,INDEX(Tactics!$A$2:$A$8,MATCH(TRIM(LEFT(E88,FIND(",",E88)-1)),Tactics!$B$2:$B$8,0)),INDEX(Tactics!$A$2:$A$8,MATCH(TRIM(MID(E88,FIND(",",E88)+1,LEN(E88))),Tactics!$B$2:$B$8,0))))</f>
        <v>TA0005</v>
      </c>
      <c r="E88" s="12" t="s">
        <v>10</v>
      </c>
    </row>
    <row r="89" spans="1:5" ht="72.599999999999994">
      <c r="A89" s="12" t="s">
        <v>278</v>
      </c>
      <c r="B89" s="12" t="s">
        <v>279</v>
      </c>
      <c r="C89" s="12" t="s">
        <v>280</v>
      </c>
      <c r="D89" s="12" t="str">
        <f>IF(ISERROR(FIND(",",E89)),INDEX(Tactics!$A$2:$A$8,MATCH(TRIM(E89),Tactics!$B$2:$B$8,0)),_xlfn.TEXTJOIN(", ",TRUE,INDEX(Tactics!$A$2:$A$8,MATCH(TRIM(LEFT(E89,FIND(",",E89)-1)),Tactics!$B$2:$B$8,0)),INDEX(Tactics!$A$2:$A$8,MATCH(TRIM(MID(E89,FIND(",",E89)+1,LEN(E89))),Tactics!$B$2:$B$8,0))))</f>
        <v>TA0001</v>
      </c>
      <c r="E89" s="12" t="s">
        <v>36</v>
      </c>
    </row>
    <row r="90" spans="1:5" ht="87">
      <c r="A90" s="12" t="s">
        <v>281</v>
      </c>
      <c r="B90" s="12" t="s">
        <v>282</v>
      </c>
      <c r="C90" s="12" t="s">
        <v>283</v>
      </c>
      <c r="D90" s="12" t="str">
        <f>IF(ISERROR(FIND(",",E90)),INDEX(Tactics!$A$2:$A$8,MATCH(TRIM(E90),Tactics!$B$2:$B$8,0)),_xlfn.TEXTJOIN(", ",TRUE,INDEX(Tactics!$A$2:$A$8,MATCH(TRIM(LEFT(E90,FIND(",",E90)-1)),Tactics!$B$2:$B$8,0)),INDEX(Tactics!$A$2:$A$8,MATCH(TRIM(MID(E90,FIND(",",E90)+1,LEN(E90))),Tactics!$B$2:$B$8,0))))</f>
        <v>TA0043</v>
      </c>
      <c r="E90" s="12" t="s">
        <v>228</v>
      </c>
    </row>
    <row r="91" spans="1:5" ht="72.599999999999994">
      <c r="A91" s="12" t="s">
        <v>284</v>
      </c>
      <c r="B91" s="12" t="s">
        <v>285</v>
      </c>
      <c r="C91" s="12" t="s">
        <v>286</v>
      </c>
      <c r="D91" s="12" t="str">
        <f>IF(ISERROR(FIND(",",E91)),INDEX(Tactics!$A$2:$A$8,MATCH(TRIM(E91),Tactics!$B$2:$B$8,0)),_xlfn.TEXTJOIN(", ",TRUE,INDEX(Tactics!$A$2:$A$8,MATCH(TRIM(LEFT(E91,FIND(",",E91)-1)),Tactics!$B$2:$B$8,0)),INDEX(Tactics!$A$2:$A$8,MATCH(TRIM(MID(E91,FIND(",",E91)+1,LEN(E91))),Tactics!$B$2:$B$8,0))))</f>
        <v>FA0001</v>
      </c>
      <c r="E91" s="12" t="s">
        <v>14</v>
      </c>
    </row>
    <row r="92" spans="1:5" ht="87">
      <c r="A92" s="12" t="s">
        <v>287</v>
      </c>
      <c r="B92" s="12" t="s">
        <v>288</v>
      </c>
      <c r="C92" s="12" t="s">
        <v>289</v>
      </c>
      <c r="D92" s="12" t="str">
        <f>IF(ISERROR(FIND(",",E92)),INDEX(Tactics!$A$2:$A$8,MATCH(TRIM(E92),Tactics!$B$2:$B$8,0)),_xlfn.TEXTJOIN(", ",TRUE,INDEX(Tactics!$A$2:$A$8,MATCH(TRIM(LEFT(E92,FIND(",",E92)-1)),Tactics!$B$2:$B$8,0)),INDEX(Tactics!$A$2:$A$8,MATCH(TRIM(MID(E92,FIND(",",E92)+1,LEN(E92))),Tactics!$B$2:$B$8,0))))</f>
        <v>TA0001</v>
      </c>
      <c r="E92" s="12" t="s">
        <v>36</v>
      </c>
    </row>
    <row r="93" spans="1:5" ht="72.599999999999994">
      <c r="A93" s="12" t="s">
        <v>290</v>
      </c>
      <c r="B93" s="12" t="s">
        <v>291</v>
      </c>
      <c r="C93" s="12" t="s">
        <v>292</v>
      </c>
      <c r="D93" s="12" t="str">
        <f>IF(ISERROR(FIND(",",E93)),INDEX(Tactics!$A$2:$A$8,MATCH(TRIM(E93),Tactics!$B$2:$B$8,0)),_xlfn.TEXTJOIN(", ",TRUE,INDEX(Tactics!$A$2:$A$8,MATCH(TRIM(LEFT(E93,FIND(",",E93)-1)),Tactics!$B$2:$B$8,0)),INDEX(Tactics!$A$2:$A$8,MATCH(TRIM(MID(E93,FIND(",",E93)+1,LEN(E93))),Tactics!$B$2:$B$8,0))))</f>
        <v>TA0005</v>
      </c>
      <c r="E93" s="12" t="s">
        <v>10</v>
      </c>
    </row>
    <row r="94" spans="1:5" ht="43.5">
      <c r="A94" s="12" t="s">
        <v>293</v>
      </c>
      <c r="B94" s="12" t="s">
        <v>294</v>
      </c>
      <c r="C94" s="12" t="s">
        <v>295</v>
      </c>
      <c r="D94" s="12" t="str">
        <f>IF(ISERROR(FIND(",",E94)),INDEX(Tactics!$A$2:$A$8,MATCH(TRIM(E94),Tactics!$B$2:$B$8,0)),_xlfn.TEXTJOIN(", ",TRUE,INDEX(Tactics!$A$2:$A$8,MATCH(TRIM(LEFT(E94,FIND(",",E94)-1)),Tactics!$B$2:$B$8,0)),INDEX(Tactics!$A$2:$A$8,MATCH(TRIM(MID(E94,FIND(",",E94)+1,LEN(E94))),Tactics!$B$2:$B$8,0))))</f>
        <v>FA0001</v>
      </c>
      <c r="E94" s="12" t="s">
        <v>14</v>
      </c>
    </row>
    <row r="95" spans="1:5" ht="101.45">
      <c r="A95" s="12" t="s">
        <v>296</v>
      </c>
      <c r="B95" s="12" t="s">
        <v>297</v>
      </c>
      <c r="C95" s="12" t="s">
        <v>298</v>
      </c>
      <c r="D95" s="12" t="str">
        <f>IF(ISERROR(FIND(",",E95)),INDEX(Tactics!$A$2:$A$8,MATCH(TRIM(E95),Tactics!$B$2:$B$8,0)),_xlfn.TEXTJOIN(", ",TRUE,INDEX(Tactics!$A$2:$A$8,MATCH(TRIM(LEFT(E95,FIND(",",E95)-1)),Tactics!$B$2:$B$8,0)),INDEX(Tactics!$A$2:$A$8,MATCH(TRIM(MID(E95,FIND(",",E95)+1,LEN(E95))),Tactics!$B$2:$B$8,0))))</f>
        <v>TA0002</v>
      </c>
      <c r="E95" s="12" t="s">
        <v>28</v>
      </c>
    </row>
    <row r="96" spans="1:5" ht="87">
      <c r="A96" s="12" t="s">
        <v>299</v>
      </c>
      <c r="B96" s="12" t="s">
        <v>300</v>
      </c>
      <c r="C96" s="12" t="s">
        <v>301</v>
      </c>
      <c r="D96" s="12" t="str">
        <f>IF(ISERROR(FIND(",",E96)),INDEX(Tactics!$A$2:$A$8,MATCH(TRIM(E96),Tactics!$B$2:$B$8,0)),_xlfn.TEXTJOIN(", ",TRUE,INDEX(Tactics!$A$2:$A$8,MATCH(TRIM(LEFT(E96,FIND(",",E96)-1)),Tactics!$B$2:$B$8,0)),INDEX(Tactics!$A$2:$A$8,MATCH(TRIM(MID(E96,FIND(",",E96)+1,LEN(E96))),Tactics!$B$2:$B$8,0))))</f>
        <v>TA0005</v>
      </c>
      <c r="E96" s="12" t="s">
        <v>10</v>
      </c>
    </row>
    <row r="97" spans="1:5" ht="72.599999999999994">
      <c r="A97" s="12" t="s">
        <v>302</v>
      </c>
      <c r="B97" s="12" t="s">
        <v>303</v>
      </c>
      <c r="C97" s="12" t="s">
        <v>304</v>
      </c>
      <c r="D97" s="12" t="str">
        <f>IF(ISERROR(FIND(",",E97)),INDEX(Tactics!$A$2:$A$8,MATCH(TRIM(E97),Tactics!$B$2:$B$8,0)),_xlfn.TEXTJOIN(", ",TRUE,INDEX(Tactics!$A$2:$A$8,MATCH(TRIM(LEFT(E97,FIND(",",E97)-1)),Tactics!$B$2:$B$8,0)),INDEX(Tactics!$A$2:$A$8,MATCH(TRIM(MID(E97,FIND(",",E97)+1,LEN(E97))),Tactics!$B$2:$B$8,0))))</f>
        <v>TA0042</v>
      </c>
      <c r="E97" s="12" t="s">
        <v>91</v>
      </c>
    </row>
    <row r="98" spans="1:5" ht="106.5">
      <c r="A98" s="12" t="s">
        <v>305</v>
      </c>
      <c r="B98" s="12" t="s">
        <v>306</v>
      </c>
      <c r="C98" s="12" t="s">
        <v>307</v>
      </c>
      <c r="D98" s="12" t="str">
        <f>IF(ISERROR(FIND(",",E98)),INDEX(Tactics!$A$2:$A$8,MATCH(TRIM(E98),Tactics!$B$2:$B$8,0)),_xlfn.TEXTJOIN(", ",TRUE,INDEX(Tactics!$A$2:$A$8,MATCH(TRIM(LEFT(E98,FIND(",",E98)-1)),Tactics!$B$2:$B$8,0)),INDEX(Tactics!$A$2:$A$8,MATCH(TRIM(MID(E98,FIND(",",E98)+1,LEN(E98))),Tactics!$B$2:$B$8,0))))</f>
        <v>TA0005</v>
      </c>
      <c r="E98" s="12" t="s">
        <v>10</v>
      </c>
    </row>
    <row r="99" spans="1:5" ht="72.599999999999994">
      <c r="A99" s="12" t="s">
        <v>308</v>
      </c>
      <c r="B99" s="12" t="s">
        <v>309</v>
      </c>
      <c r="C99" s="12" t="s">
        <v>310</v>
      </c>
      <c r="D99" s="12" t="str">
        <f>IF(ISERROR(FIND(",",E99)),INDEX(Tactics!$A$2:$A$8,MATCH(TRIM(E99),Tactics!$B$2:$B$8,0)),_xlfn.TEXTJOIN(", ",TRUE,INDEX(Tactics!$A$2:$A$8,MATCH(TRIM(LEFT(E99,FIND(",",E99)-1)),Tactics!$B$2:$B$8,0)),INDEX(Tactics!$A$2:$A$8,MATCH(TRIM(MID(E99,FIND(",",E99)+1,LEN(E99))),Tactics!$B$2:$B$8,0))))</f>
        <v>TA0043</v>
      </c>
      <c r="E99" s="6" t="s">
        <v>228</v>
      </c>
    </row>
    <row r="100" spans="1:5" ht="290.10000000000002">
      <c r="A100" s="12" t="s">
        <v>311</v>
      </c>
      <c r="B100" s="12" t="s">
        <v>312</v>
      </c>
      <c r="C100" s="12" t="s">
        <v>313</v>
      </c>
      <c r="D100" s="12" t="str">
        <f>IF(ISERROR(FIND(",",E100)),INDEX(Tactics!$A$2:$A$8,MATCH(TRIM(E100),Tactics!$B$2:$B$8,0)),_xlfn.TEXTJOIN(", ",TRUE,INDEX(Tactics!$A$2:$A$8,MATCH(TRIM(LEFT(E100,FIND(",",E100)-1)),Tactics!$B$2:$B$8,0)),INDEX(Tactics!$A$2:$A$8,MATCH(TRIM(MID(E100,FIND(",",E100)+1,LEN(E100))),Tactics!$B$2:$B$8,0))))</f>
        <v>TA0043</v>
      </c>
      <c r="E100" s="6" t="s">
        <v>228</v>
      </c>
    </row>
    <row r="101" spans="1:5" ht="87">
      <c r="A101" s="12" t="s">
        <v>314</v>
      </c>
      <c r="B101" s="12" t="s">
        <v>315</v>
      </c>
      <c r="C101" s="12" t="s">
        <v>316</v>
      </c>
      <c r="D101" s="12" t="str">
        <f>IF(ISERROR(FIND(",",E101)),INDEX(Tactics!$A$2:$A$8,MATCH(TRIM(E101),Tactics!$B$2:$B$8,0)),_xlfn.TEXTJOIN(", ",TRUE,INDEX(Tactics!$A$2:$A$8,MATCH(TRIM(LEFT(E101,FIND(",",E101)-1)),Tactics!$B$2:$B$8,0)),INDEX(Tactics!$A$2:$A$8,MATCH(TRIM(MID(E101,FIND(",",E101)+1,LEN(E101))),Tactics!$B$2:$B$8,0))))</f>
        <v>FA0001</v>
      </c>
      <c r="E101" s="12" t="s">
        <v>14</v>
      </c>
    </row>
    <row r="102" spans="1:5" ht="43.5">
      <c r="A102" s="12" t="s">
        <v>317</v>
      </c>
      <c r="B102" s="12" t="s">
        <v>318</v>
      </c>
      <c r="C102" s="12" t="s">
        <v>319</v>
      </c>
      <c r="D102" s="12" t="str">
        <f>IF(ISERROR(FIND(",",E102)),INDEX(Tactics!$A$2:$A$8,MATCH(TRIM(E102),Tactics!$B$2:$B$8,0)),_xlfn.TEXTJOIN(", ",TRUE,INDEX(Tactics!$A$2:$A$8,MATCH(TRIM(LEFT(E102,FIND(",",E102)-1)),Tactics!$B$2:$B$8,0)),INDEX(Tactics!$A$2:$A$8,MATCH(TRIM(MID(E102,FIND(",",E102)+1,LEN(E102))),Tactics!$B$2:$B$8,0))))</f>
        <v>TA0001</v>
      </c>
      <c r="E102" s="12" t="s">
        <v>36</v>
      </c>
    </row>
    <row r="103" spans="1:5" ht="87">
      <c r="A103" s="12" t="s">
        <v>320</v>
      </c>
      <c r="B103" s="12" t="s">
        <v>321</v>
      </c>
      <c r="C103" s="12" t="s">
        <v>322</v>
      </c>
      <c r="D103" s="12" t="str">
        <f>IF(ISERROR(FIND(",",E103)),INDEX(Tactics!$A$2:$A$8,MATCH(TRIM(E103),Tactics!$B$2:$B$8,0)),_xlfn.TEXTJOIN(", ",TRUE,INDEX(Tactics!$A$2:$A$8,MATCH(TRIM(LEFT(E103,FIND(",",E103)-1)),Tactics!$B$2:$B$8,0)),INDEX(Tactics!$A$2:$A$8,MATCH(TRIM(MID(E103,FIND(",",E103)+1,LEN(E103))),Tactics!$B$2:$B$8,0))))</f>
        <v>FA0001</v>
      </c>
      <c r="E103" s="12" t="s">
        <v>14</v>
      </c>
    </row>
    <row r="104" spans="1:5" ht="159.6">
      <c r="A104" s="12" t="s">
        <v>323</v>
      </c>
      <c r="B104" s="12" t="s">
        <v>324</v>
      </c>
      <c r="C104" s="12" t="s">
        <v>325</v>
      </c>
      <c r="D104" s="12" t="str">
        <f>IF(ISERROR(FIND(",",E104)),INDEX(Tactics!$A$2:$A$8,MATCH(TRIM(E104),Tactics!$B$2:$B$8,0)),_xlfn.TEXTJOIN(", ",TRUE,INDEX(Tactics!$A$2:$A$8,MATCH(TRIM(LEFT(E104,FIND(",",E104)-1)),Tactics!$B$2:$B$8,0)),INDEX(Tactics!$A$2:$A$8,MATCH(TRIM(MID(E104,FIND(",",E104)+1,LEN(E104))),Tactics!$B$2:$B$8,0))))</f>
        <v>FA0001</v>
      </c>
      <c r="E104" s="12" t="s">
        <v>14</v>
      </c>
    </row>
    <row r="105" spans="1:5" ht="87">
      <c r="A105" s="12" t="s">
        <v>326</v>
      </c>
      <c r="B105" s="12" t="s">
        <v>327</v>
      </c>
      <c r="C105" s="12" t="s">
        <v>328</v>
      </c>
      <c r="D105" s="12" t="str">
        <f>IF(ISERROR(FIND(",",E105)),INDEX(Tactics!$A$2:$A$8,MATCH(TRIM(E105),Tactics!$B$2:$B$8,0)),_xlfn.TEXTJOIN(", ",TRUE,INDEX(Tactics!$A$2:$A$8,MATCH(TRIM(LEFT(E105,FIND(",",E105)-1)),Tactics!$B$2:$B$8,0)),INDEX(Tactics!$A$2:$A$8,MATCH(TRIM(MID(E105,FIND(",",E105)+1,LEN(E105))),Tactics!$B$2:$B$8,0))))</f>
        <v>TA0002</v>
      </c>
      <c r="E105" s="12" t="s">
        <v>28</v>
      </c>
    </row>
    <row r="106" spans="1:5" ht="159.6">
      <c r="A106" s="12" t="s">
        <v>329</v>
      </c>
      <c r="B106" s="12" t="s">
        <v>330</v>
      </c>
      <c r="C106" s="12" t="s">
        <v>331</v>
      </c>
      <c r="D106" s="12" t="str">
        <f>IF(ISERROR(FIND(",",E106)),INDEX(Tactics!$A$2:$A$8,MATCH(TRIM(E106),Tactics!$B$2:$B$8,0)),_xlfn.TEXTJOIN(", ",TRUE,INDEX(Tactics!$A$2:$A$8,MATCH(TRIM(LEFT(E106,FIND(",",E106)-1)),Tactics!$B$2:$B$8,0)),INDEX(Tactics!$A$2:$A$8,MATCH(TRIM(MID(E106,FIND(",",E106)+1,LEN(E106))),Tactics!$B$2:$B$8,0))))</f>
        <v>TA0002</v>
      </c>
      <c r="E106" s="12" t="s">
        <v>28</v>
      </c>
    </row>
    <row r="107" spans="1:5" ht="72.599999999999994">
      <c r="A107" s="12" t="s">
        <v>332</v>
      </c>
      <c r="B107" s="12" t="s">
        <v>333</v>
      </c>
      <c r="C107" s="12" t="s">
        <v>334</v>
      </c>
      <c r="D107" s="12" t="str">
        <f>IF(ISERROR(FIND(",",E107)),INDEX(Tactics!$A$2:$A$8,MATCH(TRIM(E107),Tactics!$B$2:$B$8,0)),_xlfn.TEXTJOIN(", ",TRUE,INDEX(Tactics!$A$2:$A$8,MATCH(TRIM(LEFT(E107,FIND(",",E107)-1)),Tactics!$B$2:$B$8,0)),INDEX(Tactics!$A$2:$A$8,MATCH(TRIM(MID(E107,FIND(",",E107)+1,LEN(E107))),Tactics!$B$2:$B$8,0))))</f>
        <v>FA0001</v>
      </c>
      <c r="E107" s="12" t="s">
        <v>14</v>
      </c>
    </row>
    <row r="108" spans="1:5" ht="43.5">
      <c r="A108" s="12" t="s">
        <v>335</v>
      </c>
      <c r="B108" s="12" t="s">
        <v>336</v>
      </c>
      <c r="C108" s="12" t="s">
        <v>337</v>
      </c>
      <c r="D108" s="12" t="str">
        <f>IF(ISERROR(FIND(",",E108)),INDEX(Tactics!$A$2:$A$8,MATCH(TRIM(E108),Tactics!$B$2:$B$8,0)),_xlfn.TEXTJOIN(", ",TRUE,INDEX(Tactics!$A$2:$A$8,MATCH(TRIM(LEFT(E108,FIND(",",E108)-1)),Tactics!$B$2:$B$8,0)),INDEX(Tactics!$A$2:$A$8,MATCH(TRIM(MID(E108,FIND(",",E108)+1,LEN(E108))),Tactics!$B$2:$B$8,0))))</f>
        <v>TA0001</v>
      </c>
      <c r="E108" s="12" t="s">
        <v>36</v>
      </c>
    </row>
    <row r="109" spans="1:5" ht="87">
      <c r="A109" s="12" t="s">
        <v>338</v>
      </c>
      <c r="B109" s="12" t="s">
        <v>339</v>
      </c>
      <c r="C109" s="12" t="s">
        <v>340</v>
      </c>
      <c r="D109" s="12" t="str">
        <f>IF(ISERROR(FIND(",",E109)),INDEX(Tactics!$A$2:$A$8,MATCH(TRIM(E109),Tactics!$B$2:$B$8,0)),_xlfn.TEXTJOIN(", ",TRUE,INDEX(Tactics!$A$2:$A$8,MATCH(TRIM(LEFT(E109,FIND(",",E109)-1)),Tactics!$B$2:$B$8,0)),INDEX(Tactics!$A$2:$A$8,MATCH(TRIM(MID(E109,FIND(",",E109)+1,LEN(E109))),Tactics!$B$2:$B$8,0))))</f>
        <v>TA0001</v>
      </c>
      <c r="E109" s="12" t="s">
        <v>36</v>
      </c>
    </row>
    <row r="110" spans="1:5" ht="72.599999999999994">
      <c r="A110" s="12" t="s">
        <v>341</v>
      </c>
      <c r="B110" s="12" t="s">
        <v>342</v>
      </c>
      <c r="C110" s="12" t="s">
        <v>343</v>
      </c>
      <c r="D110" s="12" t="str">
        <f>IF(ISERROR(FIND(",",E110)),INDEX(Tactics!$A$2:$A$8,MATCH(TRIM(E110),Tactics!$B$2:$B$8,0)),_xlfn.TEXTJOIN(", ",TRUE,INDEX(Tactics!$A$2:$A$8,MATCH(TRIM(LEFT(E110,FIND(",",E110)-1)),Tactics!$B$2:$B$8,0)),INDEX(Tactics!$A$2:$A$8,MATCH(TRIM(MID(E110,FIND(",",E110)+1,LEN(E110))),Tactics!$B$2:$B$8,0))))</f>
        <v>TA0042</v>
      </c>
      <c r="E110" s="12" t="s">
        <v>91</v>
      </c>
    </row>
    <row r="111" spans="1:5" ht="87">
      <c r="A111" s="12" t="s">
        <v>344</v>
      </c>
      <c r="B111" s="12" t="s">
        <v>345</v>
      </c>
      <c r="C111" s="12" t="s">
        <v>346</v>
      </c>
      <c r="D111" s="12" t="str">
        <f>IF(ISERROR(FIND(",",E111)),INDEX(Tactics!$A$2:$A$8,MATCH(TRIM(E111),Tactics!$B$2:$B$8,0)),_xlfn.TEXTJOIN(", ",TRUE,INDEX(Tactics!$A$2:$A$8,MATCH(TRIM(LEFT(E111,FIND(",",E111)-1)),Tactics!$B$2:$B$8,0)),INDEX(Tactics!$A$2:$A$8,MATCH(TRIM(MID(E111,FIND(",",E111)+1,LEN(E111))),Tactics!$B$2:$B$8,0))))</f>
        <v>TA0042</v>
      </c>
      <c r="E111" s="12" t="s">
        <v>91</v>
      </c>
    </row>
    <row r="112" spans="1:5" ht="333.6">
      <c r="A112" s="12" t="s">
        <v>347</v>
      </c>
      <c r="B112" s="12" t="s">
        <v>348</v>
      </c>
      <c r="C112" s="12" t="s">
        <v>349</v>
      </c>
      <c r="D112" s="12" t="str">
        <f>IF(ISERROR(FIND(",",E112)),INDEX(Tactics!$A$2:$A$8,MATCH(TRIM(E112),Tactics!$B$2:$B$8,0)),_xlfn.TEXTJOIN(", ",TRUE,INDEX(Tactics!$A$2:$A$8,MATCH(TRIM(LEFT(E112,FIND(",",E112)-1)),Tactics!$B$2:$B$8,0)),INDEX(Tactics!$A$2:$A$8,MATCH(TRIM(MID(E112,FIND(",",E112)+1,LEN(E112))),Tactics!$B$2:$B$8,0))))</f>
        <v>TA0043, FA0001</v>
      </c>
      <c r="E112" s="12" t="s">
        <v>350</v>
      </c>
    </row>
    <row r="113" spans="1:5" ht="43.5">
      <c r="A113" s="12" t="s">
        <v>351</v>
      </c>
      <c r="B113" s="12" t="s">
        <v>352</v>
      </c>
      <c r="C113" s="12" t="s">
        <v>353</v>
      </c>
      <c r="D113" s="12" t="str">
        <f>IF(ISERROR(FIND(",",E113)),INDEX(Tactics!$A$2:$A$8,MATCH(TRIM(E113),Tactics!$B$2:$B$8,0)),_xlfn.TEXTJOIN(", ",TRUE,INDEX(Tactics!$A$2:$A$8,MATCH(TRIM(LEFT(E113,FIND(",",E113)-1)),Tactics!$B$2:$B$8,0)),INDEX(Tactics!$A$2:$A$8,MATCH(TRIM(MID(E113,FIND(",",E113)+1,LEN(E113))),Tactics!$B$2:$B$8,0))))</f>
        <v>FA0002</v>
      </c>
      <c r="E113" s="12" t="s">
        <v>149</v>
      </c>
    </row>
    <row r="114" spans="1:5" ht="391.5">
      <c r="A114" s="12" t="s">
        <v>354</v>
      </c>
      <c r="B114" s="12" t="s">
        <v>355</v>
      </c>
      <c r="C114" s="12" t="s">
        <v>356</v>
      </c>
      <c r="D114" s="12" t="str">
        <f>IF(ISERROR(FIND(",",E114)),INDEX(Tactics!$A$2:$A$8,MATCH(TRIM(E114),Tactics!$B$2:$B$8,0)),_xlfn.TEXTJOIN(", ",TRUE,INDEX(Tactics!$A$2:$A$8,MATCH(TRIM(LEFT(E114,FIND(",",E114)-1)),Tactics!$B$2:$B$8,0)),INDEX(Tactics!$A$2:$A$8,MATCH(TRIM(MID(E114,FIND(",",E114)+1,LEN(E114))),Tactics!$B$2:$B$8,0))))</f>
        <v>TA0001</v>
      </c>
      <c r="E114" s="12" t="s">
        <v>36</v>
      </c>
    </row>
    <row r="115" spans="1:5" ht="57.95">
      <c r="A115" s="12" t="s">
        <v>357</v>
      </c>
      <c r="B115" s="12" t="s">
        <v>358</v>
      </c>
      <c r="C115" s="12" t="s">
        <v>359</v>
      </c>
      <c r="D115" s="12" t="str">
        <f>IF(ISERROR(FIND(",",E115)),INDEX(Tactics!$A$2:$A$8,MATCH(TRIM(E115),Tactics!$B$2:$B$8,0)),_xlfn.TEXTJOIN(", ",TRUE,INDEX(Tactics!$A$2:$A$8,MATCH(TRIM(LEFT(E115,FIND(",",E115)-1)),Tactics!$B$2:$B$8,0)),INDEX(Tactics!$A$2:$A$8,MATCH(TRIM(MID(E115,FIND(",",E115)+1,LEN(E115))),Tactics!$B$2:$B$8,0))))</f>
        <v>FA0001</v>
      </c>
      <c r="E115" s="12" t="s">
        <v>14</v>
      </c>
    </row>
    <row r="116" spans="1:5" ht="72.599999999999994">
      <c r="A116" s="12" t="s">
        <v>225</v>
      </c>
      <c r="B116" s="12" t="s">
        <v>360</v>
      </c>
      <c r="C116" s="12" t="s">
        <v>361</v>
      </c>
      <c r="D116" s="12" t="str">
        <f>IF(ISERROR(FIND(",",E116)),INDEX(Tactics!$A$2:$A$8,MATCH(TRIM(E116),Tactics!$B$2:$B$8,0)),_xlfn.TEXTJOIN(", ",TRUE,INDEX(Tactics!$A$2:$A$8,MATCH(TRIM(LEFT(E116,FIND(",",E116)-1)),Tactics!$B$2:$B$8,0)),INDEX(Tactics!$A$2:$A$8,MATCH(TRIM(MID(E116,FIND(",",E116)+1,LEN(E116))),Tactics!$B$2:$B$8,0))))</f>
        <v>TA0001</v>
      </c>
      <c r="E116" s="12" t="s">
        <v>36</v>
      </c>
    </row>
    <row r="117" spans="1:5" ht="87">
      <c r="A117" s="12" t="s">
        <v>362</v>
      </c>
      <c r="B117" s="12" t="s">
        <v>363</v>
      </c>
      <c r="C117" s="12" t="s">
        <v>364</v>
      </c>
      <c r="D117" s="12" t="str">
        <f>IF(ISERROR(FIND(",",E117)),INDEX(Tactics!$A$2:$A$8,MATCH(TRIM(E117),Tactics!$B$2:$B$8,0)),_xlfn.TEXTJOIN(", ",TRUE,INDEX(Tactics!$A$2:$A$8,MATCH(TRIM(LEFT(E117,FIND(",",E117)-1)),Tactics!$B$2:$B$8,0)),INDEX(Tactics!$A$2:$A$8,MATCH(TRIM(MID(E117,FIND(",",E117)+1,LEN(E117))),Tactics!$B$2:$B$8,0))))</f>
        <v>TA0001</v>
      </c>
      <c r="E117" s="12" t="s">
        <v>36</v>
      </c>
    </row>
    <row r="118" spans="1:5" ht="167.25">
      <c r="A118" s="12" t="s">
        <v>365</v>
      </c>
      <c r="B118" s="12" t="s">
        <v>366</v>
      </c>
      <c r="C118" s="12" t="s">
        <v>367</v>
      </c>
      <c r="D118" s="12" t="str">
        <f>IF(ISERROR(FIND(",",E118)),INDEX(Tactics!$A$2:$A$8,MATCH(TRIM(E118),Tactics!$B$2:$B$8,0)),_xlfn.TEXTJOIN(", ",TRUE,INDEX(Tactics!$A$2:$A$8,MATCH(TRIM(LEFT(E118,FIND(",",E118)-1)),Tactics!$B$2:$B$8,0)),INDEX(Tactics!$A$2:$A$8,MATCH(TRIM(MID(E118,FIND(",",E118)+1,LEN(E118))),Tactics!$B$2:$B$8,0))))</f>
        <v>TA0005</v>
      </c>
      <c r="E118" s="12" t="s">
        <v>10</v>
      </c>
    </row>
    <row r="119" spans="1:5" ht="409.5">
      <c r="A119" s="12" t="s">
        <v>368</v>
      </c>
      <c r="B119" s="12" t="s">
        <v>369</v>
      </c>
      <c r="C119" s="12" t="s">
        <v>370</v>
      </c>
      <c r="D119" s="12" t="str">
        <f>IF(ISERROR(FIND(",",E119)),INDEX(Tactics!$A$2:$A$8,MATCH(TRIM(E119),Tactics!$B$2:$B$8,0)),_xlfn.TEXTJOIN(", ",TRUE,INDEX(Tactics!$A$2:$A$8,MATCH(TRIM(LEFT(E119,FIND(",",E119)-1)),Tactics!$B$2:$B$8,0)),INDEX(Tactics!$A$2:$A$8,MATCH(TRIM(MID(E119,FIND(",",E119)+1,LEN(E119))),Tactics!$B$2:$B$8,0))))</f>
        <v>TA0042</v>
      </c>
      <c r="E119" s="12" t="s">
        <v>91</v>
      </c>
    </row>
    <row r="120" spans="1:5" ht="87">
      <c r="A120" s="12" t="s">
        <v>371</v>
      </c>
      <c r="B120" s="12" t="s">
        <v>372</v>
      </c>
      <c r="C120" s="12" t="s">
        <v>373</v>
      </c>
      <c r="D120" s="12" t="str">
        <f>IF(ISERROR(FIND(",",E120)),INDEX(Tactics!$A$2:$A$8,MATCH(TRIM(E120),Tactics!$B$2:$B$8,0)),_xlfn.TEXTJOIN(", ",TRUE,INDEX(Tactics!$A$2:$A$8,MATCH(TRIM(LEFT(E120,FIND(",",E120)-1)),Tactics!$B$2:$B$8,0)),INDEX(Tactics!$A$2:$A$8,MATCH(TRIM(MID(E120,FIND(",",E120)+1,LEN(E120))),Tactics!$B$2:$B$8,0))))</f>
        <v>FA0002</v>
      </c>
      <c r="E120" s="12" t="s">
        <v>149</v>
      </c>
    </row>
    <row r="121" spans="1:5" ht="87">
      <c r="A121" s="12" t="s">
        <v>374</v>
      </c>
      <c r="B121" s="12" t="s">
        <v>375</v>
      </c>
      <c r="C121" s="12" t="s">
        <v>376</v>
      </c>
      <c r="D121" s="12" t="str">
        <f>IF(ISERROR(FIND(",",E121)),INDEX(Tactics!$A$2:$A$8,MATCH(TRIM(E121),Tactics!$B$2:$B$8,0)),_xlfn.TEXTJOIN(", ",TRUE,INDEX(Tactics!$A$2:$A$8,MATCH(TRIM(LEFT(E121,FIND(",",E121)-1)),Tactics!$B$2:$B$8,0)),INDEX(Tactics!$A$2:$A$8,MATCH(TRIM(MID(E121,FIND(",",E121)+1,LEN(E121))),Tactics!$B$2:$B$8,0))))</f>
        <v>FA0002</v>
      </c>
      <c r="E121" s="12" t="s">
        <v>149</v>
      </c>
    </row>
    <row r="122" spans="1:5" ht="57.95">
      <c r="A122" s="12" t="s">
        <v>377</v>
      </c>
      <c r="B122" s="12" t="s">
        <v>378</v>
      </c>
      <c r="C122" s="12" t="s">
        <v>379</v>
      </c>
      <c r="D122" s="12" t="str">
        <f>IF(ISERROR(FIND(",",E122)),INDEX(Tactics!$A$2:$A$8,MATCH(TRIM(E122),Tactics!$B$2:$B$8,0)),_xlfn.TEXTJOIN(", ",TRUE,INDEX(Tactics!$A$2:$A$8,MATCH(TRIM(LEFT(E122,FIND(",",E122)-1)),Tactics!$B$2:$B$8,0)),INDEX(Tactics!$A$2:$A$8,MATCH(TRIM(MID(E122,FIND(",",E122)+1,LEN(E122))),Tactics!$B$2:$B$8,0))))</f>
        <v>FA0002</v>
      </c>
      <c r="E122" s="12" t="s">
        <v>149</v>
      </c>
    </row>
    <row r="123" spans="1:5" ht="101.45">
      <c r="A123" s="12" t="s">
        <v>380</v>
      </c>
      <c r="B123" s="12" t="s">
        <v>381</v>
      </c>
      <c r="C123" s="12" t="s">
        <v>382</v>
      </c>
      <c r="D123" s="12" t="str">
        <f>IF(ISERROR(FIND(",",E123)),INDEX(Tactics!$A$2:$A$8,MATCH(TRIM(E123),Tactics!$B$2:$B$8,0)),_xlfn.TEXTJOIN(", ",TRUE,INDEX(Tactics!$A$2:$A$8,MATCH(TRIM(LEFT(E123,FIND(",",E123)-1)),Tactics!$B$2:$B$8,0)),INDEX(Tactics!$A$2:$A$8,MATCH(TRIM(MID(E123,FIND(",",E123)+1,LEN(E123))),Tactics!$B$2:$B$8,0))))</f>
        <v>TA0005</v>
      </c>
      <c r="E123" s="12" t="s">
        <v>10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zoomScaleNormal="100" workbookViewId="0">
      <selection activeCell="F2" sqref="F2"/>
    </sheetView>
  </sheetViews>
  <sheetFormatPr defaultColWidth="8.85546875" defaultRowHeight="14.45"/>
  <cols>
    <col min="2" max="2" width="27.42578125" customWidth="1"/>
    <col min="3" max="3" width="78.42578125" style="3" customWidth="1"/>
  </cols>
  <sheetData>
    <row r="1" spans="1:4">
      <c r="A1" s="5" t="s">
        <v>3</v>
      </c>
      <c r="B1" s="5" t="s">
        <v>4</v>
      </c>
      <c r="C1" s="5" t="s">
        <v>383</v>
      </c>
    </row>
    <row r="2" spans="1:4" ht="130.5">
      <c r="A2" s="6" t="s">
        <v>384</v>
      </c>
      <c r="B2" s="6" t="s">
        <v>228</v>
      </c>
      <c r="C2" s="7" t="s">
        <v>385</v>
      </c>
    </row>
    <row r="3" spans="1:4" ht="130.5">
      <c r="A3" s="8" t="s">
        <v>386</v>
      </c>
      <c r="B3" s="8" t="s">
        <v>91</v>
      </c>
      <c r="C3" s="9" t="s">
        <v>387</v>
      </c>
    </row>
    <row r="4" spans="1:4" ht="101.45">
      <c r="A4" s="6" t="s">
        <v>388</v>
      </c>
      <c r="B4" s="6" t="s">
        <v>36</v>
      </c>
      <c r="C4" s="7" t="s">
        <v>389</v>
      </c>
      <c r="D4" s="3"/>
    </row>
    <row r="5" spans="1:4" ht="101.45">
      <c r="A5" s="8" t="s">
        <v>390</v>
      </c>
      <c r="B5" s="8" t="s">
        <v>10</v>
      </c>
      <c r="C5" s="9" t="s">
        <v>391</v>
      </c>
    </row>
    <row r="6" spans="1:4" ht="116.1">
      <c r="A6" s="10" t="s">
        <v>392</v>
      </c>
      <c r="B6" s="10" t="s">
        <v>14</v>
      </c>
      <c r="C6" s="11" t="s">
        <v>393</v>
      </c>
    </row>
    <row r="7" spans="1:4" ht="159.6">
      <c r="A7" s="8" t="s">
        <v>394</v>
      </c>
      <c r="B7" s="8" t="s">
        <v>28</v>
      </c>
      <c r="C7" s="9" t="s">
        <v>395</v>
      </c>
    </row>
    <row r="8" spans="1:4" ht="130.5">
      <c r="A8" s="10" t="s">
        <v>396</v>
      </c>
      <c r="B8" s="10" t="s">
        <v>149</v>
      </c>
      <c r="C8" s="11" t="s">
        <v>397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C7F9EF2-C1BC-4CE0-ADE4-7BA4FE8FF5FB}"/>
</file>

<file path=customXml/itemProps2.xml><?xml version="1.0" encoding="utf-8"?>
<ds:datastoreItem xmlns:ds="http://schemas.openxmlformats.org/officeDocument/2006/customXml" ds:itemID="{D5E9A6EB-E1F5-40DF-8E3D-2573C78749C9}"/>
</file>

<file path=customXml/itemProps3.xml><?xml version="1.0" encoding="utf-8"?>
<ds:datastoreItem xmlns:ds="http://schemas.openxmlformats.org/officeDocument/2006/customXml" ds:itemID="{5B507651-5BE5-4ABC-ABE6-D1B49CE522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2026-02-26T15:07:32Z</dcterms:created>
  <dcterms:modified xsi:type="dcterms:W3CDTF">2026-03-26T19:46:19Z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